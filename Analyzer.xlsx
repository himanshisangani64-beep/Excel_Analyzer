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ll_Project_Data\EXCEL_PROJECTS\Project 2\"/>
    </mc:Choice>
  </mc:AlternateContent>
  <xr:revisionPtr revIDLastSave="0" documentId="13_ncr:1_{50C2020E-6D6C-4E9A-83E8-8A8EC7704122}" xr6:coauthVersionLast="47" xr6:coauthVersionMax="47" xr10:uidLastSave="{00000000-0000-0000-0000-000000000000}"/>
  <bookViews>
    <workbookView xWindow="-120" yWindow="-120" windowWidth="20730" windowHeight="11040" firstSheet="1" activeTab="1" xr2:uid="{A5929E3E-7E4E-448D-AF00-701F5868BF37}"/>
  </bookViews>
  <sheets>
    <sheet name="Row_DataSet" sheetId="1" r:id="rId1"/>
    <sheet name="Data_Cleaning&amp;Analysis" sheetId="2" r:id="rId2"/>
    <sheet name="Chart&amp;KIP" sheetId="3" r:id="rId3"/>
    <sheet name="Dashboard" sheetId="6" r:id="rId4"/>
  </sheets>
  <definedNames>
    <definedName name="_xlnm._FilterDatabase" localSheetId="1" hidden="1">'Data_Cleaning&amp;Analysis'!$A$5:$K$35</definedName>
    <definedName name="data">'Data_Cleaning&amp;Analysis'!$A$5:$L$35</definedName>
  </definedNames>
  <calcPr calcId="191029" iterate="1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1" i="2" l="1"/>
  <c r="C112" i="2"/>
  <c r="C113" i="2"/>
  <c r="C114" i="2"/>
  <c r="C110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6" i="2"/>
  <c r="H7" i="2"/>
  <c r="H8" i="2"/>
  <c r="H9" i="2"/>
  <c r="B112" i="2" s="1"/>
  <c r="H10" i="2"/>
  <c r="B113" i="2" s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B110" i="2" s="1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B109" i="2" l="1"/>
  <c r="B111" i="2"/>
  <c r="B114" i="2"/>
  <c r="A40" i="2" a="1"/>
  <c r="A40" i="2" s="1"/>
  <c r="K6" i="2"/>
  <c r="K7" i="2"/>
  <c r="K8" i="2"/>
  <c r="K9" i="2"/>
  <c r="K10" i="2"/>
  <c r="K11" i="2"/>
  <c r="K12" i="2"/>
  <c r="K13" i="2"/>
  <c r="K14" i="2"/>
  <c r="A124" i="2" s="1" a="1"/>
  <c r="A124" i="2" s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B40" i="2" l="1"/>
  <c r="E41" i="2" s="1"/>
  <c r="E43" i="2" s="1"/>
  <c r="H40" i="2" s="1"/>
  <c r="B43" i="2"/>
  <c r="B44" i="2"/>
  <c r="B42" i="2"/>
  <c r="B4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<sst xmlns="http://schemas.openxmlformats.org/spreadsheetml/2006/main" count="1127" uniqueCount="166">
  <si>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</si>
  <si>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</si>
  <si>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</si>
  <si>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</si>
  <si>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</si>
  <si>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</si>
  <si>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</si>
  <si>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</si>
  <si>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</si>
  <si>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</si>
  <si>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</si>
  <si>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</si>
  <si>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</si>
  <si>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</si>
  <si>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</si>
  <si>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</si>
  <si>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</si>
  <si>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</si>
  <si>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</si>
  <si>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</si>
  <si>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</si>
  <si>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</si>
  <si>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</si>
  <si>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</si>
  <si>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</si>
  <si>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</si>
  <si>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</si>
  <si>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</si>
  <si>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</si>
  <si>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</si>
  <si>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</si>
  <si>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</si>
  <si>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</si>
  <si>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</si>
  <si>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</si>
  <si>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</si>
  <si>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</si>
  <si>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</si>
  <si>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</si>
  <si>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</si>
  <si>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</si>
  <si>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</si>
  <si>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</si>
  <si>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</si>
  <si>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</si>
  <si>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</si>
  <si>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</si>
  <si>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</si>
  <si>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</si>
  <si>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</si>
  <si>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</si>
  <si>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</si>
  <si>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</si>
  <si>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</si>
  <si>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</si>
  <si>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</si>
  <si>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</si>
  <si>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</si>
  <si>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</si>
  <si>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</si>
  <si>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</si>
  <si>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</si>
  <si>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</si>
  <si>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</si>
  <si>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</si>
  <si>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</si>
  <si>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</si>
  <si>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</si>
  <si>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</si>
  <si>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</si>
  <si>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</si>
  <si>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</si>
  <si>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</si>
  <si>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</si>
  <si>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</si>
  <si>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</si>
  <si>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Purchase</t>
  </si>
  <si>
    <t xml:space="preserve">Perform WHAT IF Analysis to see impact of changing discount on total profit </t>
  </si>
  <si>
    <t>Total Profit</t>
  </si>
  <si>
    <t>Total Profit Price</t>
  </si>
  <si>
    <t>Select Product_Category</t>
  </si>
  <si>
    <t>Discount Percentage</t>
  </si>
  <si>
    <t>Total Price</t>
  </si>
  <si>
    <t>Use Data Analysis Toolpak to run Linear Regression (Profit vs Sales)</t>
  </si>
  <si>
    <t>?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</si>
  <si>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</si>
  <si>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</si>
  <si>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</si>
  <si>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</si>
  <si>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</si>
  <si>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</si>
  <si>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</si>
  <si>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</si>
  <si>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</si>
  <si>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</si>
  <si>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</si>
  <si>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</si>
  <si>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</si>
  <si>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</si>
  <si>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</si>
  <si>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</si>
  <si>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</si>
  <si>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</si>
  <si>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</si>
  <si>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</si>
  <si>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</si>
  <si>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</si>
  <si>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</si>
  <si>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</si>
  <si>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</si>
  <si>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Y=MX+C</t>
  </si>
  <si>
    <t>Use 'Descriptive Statistics' From Analysis Toolpak on the dataset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</si>
  <si>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</si>
  <si>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</si>
  <si>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</si>
  <si>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</si>
  <si>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</si>
  <si>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</si>
  <si>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</si>
  <si>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</si>
  <si>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</si>
  <si>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</si>
  <si>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</si>
  <si>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</si>
  <si>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Add UP/Down Arrows on Monthly Sales Growth</t>
  </si>
  <si>
    <t>Month</t>
  </si>
  <si>
    <t>Months</t>
  </si>
  <si>
    <t>TimeStamp</t>
  </si>
  <si>
    <t>Apply Conditional formatting to highlight top 10 customers based on total purchase</t>
  </si>
  <si>
    <t>Create a timestamp column using NOW()</t>
  </si>
  <si>
    <t>Identify high-value customer using index() , match() and filters</t>
  </si>
  <si>
    <t>select Region</t>
  </si>
  <si>
    <t>Select  Column</t>
  </si>
  <si>
    <t>Region wise Top 2 High Purchase Coustomer</t>
  </si>
  <si>
    <t>Create Pivot Table to analyze total sales by region and product</t>
  </si>
  <si>
    <t>Row Labels</t>
  </si>
  <si>
    <t>Product</t>
  </si>
  <si>
    <t xml:space="preserve"> Total Sales</t>
  </si>
  <si>
    <t>Create Bar , Line and pie charts to visualize KPIs</t>
  </si>
  <si>
    <t>Total Customer</t>
  </si>
  <si>
    <t>Customer</t>
  </si>
  <si>
    <t>Apr</t>
  </si>
  <si>
    <t>Jun</t>
  </si>
  <si>
    <t>Aug</t>
  </si>
  <si>
    <t>Sep</t>
  </si>
  <si>
    <t>May</t>
  </si>
  <si>
    <t>Jul</t>
  </si>
  <si>
    <t>ProfitTotal</t>
  </si>
  <si>
    <t>Average Profit</t>
  </si>
  <si>
    <t>Average Sales</t>
  </si>
  <si>
    <t>Average of sales</t>
  </si>
  <si>
    <t>Region Wise Sales and Profit</t>
  </si>
  <si>
    <t>Month Wise Sales and Profit</t>
  </si>
  <si>
    <t>Sum of Discount</t>
  </si>
  <si>
    <t>Summarize insight using a dashboard</t>
  </si>
  <si>
    <t>SalesData</t>
  </si>
  <si>
    <t>ProfitData</t>
  </si>
  <si>
    <t>ProfitRat</t>
  </si>
  <si>
    <t>SalesRat</t>
  </si>
  <si>
    <t>Total sales</t>
  </si>
  <si>
    <t>Total  sales</t>
  </si>
  <si>
    <t>purchaseTotal</t>
  </si>
  <si>
    <t>Growth</t>
  </si>
  <si>
    <t>jun</t>
  </si>
  <si>
    <t>-</t>
  </si>
  <si>
    <t>Product_Category Wise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</si>
</sst>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400]h:mm:ss\ AM/PM"/>
    <numFmt numFmtId="165" formatCode="&quot;🔼&quot;0%;&quot;🔽&quot;\-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BBF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2" applyFont="1"/>
    <xf numFmtId="9" fontId="0" fillId="0" borderId="1" xfId="2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Continuous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22" fontId="0" fillId="0" borderId="1" xfId="1" applyNumberFormat="1" applyFont="1" applyBorder="1" applyAlignment="1">
      <alignment horizontal="center" vertical="center"/>
    </xf>
    <xf numFmtId="0" fontId="0" fillId="0" borderId="0" xfId="0" applyAlignment="1"/>
    <xf numFmtId="0" fontId="2" fillId="6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1" xfId="0" applyNumberFormat="1" applyBorder="1"/>
    <xf numFmtId="0" fontId="0" fillId="8" borderId="1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7" xfId="0" pivotButton="1" applyBorder="1"/>
    <xf numFmtId="0" fontId="0" fillId="0" borderId="8" xfId="0" pivotButton="1" applyBorder="1"/>
    <xf numFmtId="0" fontId="0" fillId="0" borderId="8" xfId="0" applyBorder="1"/>
    <xf numFmtId="0" fontId="0" fillId="0" borderId="12" xfId="0" applyBorder="1"/>
    <xf numFmtId="0" fontId="0" fillId="0" borderId="13" xfId="0" pivotButton="1" applyBorder="1"/>
    <xf numFmtId="0" fontId="0" fillId="0" borderId="9" xfId="0" applyBorder="1"/>
    <xf numFmtId="0" fontId="0" fillId="0" borderId="14" xfId="0" applyBorder="1"/>
    <xf numFmtId="0" fontId="6" fillId="2" borderId="15" xfId="0" applyFont="1" applyFill="1" applyBorder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2" fillId="9" borderId="1" xfId="0" applyFont="1" applyFill="1" applyBorder="1" applyAlignment="1"/>
    <xf numFmtId="0" fontId="0" fillId="0" borderId="6" xfId="0" applyBorder="1" applyAlignment="1">
      <alignment horizontal="left"/>
    </xf>
    <xf numFmtId="10" fontId="0" fillId="0" borderId="1" xfId="0" applyNumberFormat="1" applyBorder="1"/>
    <xf numFmtId="0" fontId="0" fillId="10" borderId="0" xfId="0" applyFill="1"/>
    <xf numFmtId="165" fontId="9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0" xfId="0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38">
    <dxf>
      <fill>
        <patternFill>
          <bgColor rgb="FF99DAE3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AC9DA"/>
      <color rgb="FF8BBFD9"/>
      <color rgb="FF99DAE3"/>
      <color rgb="FF6BCAD7"/>
      <color rgb="FFE297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[Analyzer.xlsx]Chart&amp;KIP!PivotTable9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80927384076984E-2"/>
          <c:y val="0.16101633129192183"/>
          <c:w val="0.67130293088363957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'Chart&amp;KIP'!$B$17</c:f>
              <c:strCache>
                <c:ptCount val="1"/>
                <c:pt idx="0">
                  <c:v>SalesData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'Chart&amp;KIP'!$A$18:$A$22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'Chart&amp;KIP'!$B$18:$B$22</c:f>
              <c:numCache>
                <c:formatCode>General</c:formatCode>
                <c:ptCount val="5"/>
                <c:pt idx="0">
                  <c:v>1238.8499999999999</c:v>
                </c:pt>
                <c:pt idx="1">
                  <c:v>4766.76</c:v>
                </c:pt>
                <c:pt idx="2">
                  <c:v>8142.9400000000005</c:v>
                </c:pt>
                <c:pt idx="3">
                  <c:v>4300.43</c:v>
                </c:pt>
                <c:pt idx="4">
                  <c:v>9670.3799999999992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E-4AD3-AB93-D3036397ED96}"/>
            </c:ext>
          </c:extLst>
        </c:ser>
        <c:ser>
          <c:idx val="1"/>
          <c:order val="1"/>
          <c:tx>
            <c:strRef>
              <c:f>'Chart&amp;KIP'!$C$17</c:f>
              <c:strCache>
                <c:ptCount val="1"/>
                <c:pt idx="0">
                  <c:v>ProfitData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'Chart&amp;KIP'!$A$18:$A$22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'Chart&amp;KIP'!$C$18:$C$22</c:f>
              <c:numCache>
                <c:formatCode>General</c:formatCode>
                <c:ptCount val="5"/>
                <c:pt idx="0">
                  <c:v>540.81000000000006</c:v>
                </c:pt>
                <c:pt idx="1">
                  <c:v>1631.33</c:v>
                </c:pt>
                <c:pt idx="2">
                  <c:v>2725.33</c:v>
                </c:pt>
                <c:pt idx="3">
                  <c:v>1235.6299999999999</c:v>
                </c:pt>
                <c:pt idx="4">
                  <c:v>3308.13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E-4AD3-AB93-D3036397E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24143"/>
        <c:axId val="214226063"/>
      </c:barChart>
      <c:catAx>
        <c:axId val="2142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6063"/>
        <c:crosses val="autoZero"/>
        <c:auto val="1"/>
        <c:lblAlgn val="ctr"/>
        <c:lblOffset val="100"/>
        <c:noMultiLvlLbl val="0"/>
      </c:catAx>
      <c:valAx>
        <c:axId val="21422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[Analyzer.xlsx]Chart&amp;KIP!PivotTable10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87948381452318"/>
          <c:y val="0.15004629629629629"/>
          <c:w val="0.62185586176727914"/>
          <c:h val="0.73007764654418195"/>
        </c:manualLayout>
      </c:layout>
      <c:lineChart>
        <c:grouping val="standard"/>
        <c:varyColors val="0"/>
        <c:ser>
          <c:idx val="0"/>
          <c:order val="0"/>
          <c:tx>
            <c:strRef>
              <c:f>'Chart&amp;KIP'!$G$17</c:f>
              <c:strCache>
                <c:ptCount val="1"/>
                <c:pt idx="0">
                  <c:v>ProfitRat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'Chart&amp;KIP'!$F$18:$F$23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'Chart&amp;KIP'!$G$18:$G$23</c:f>
              <c:numCache>
                <c:formatCode>General</c:formatCode>
                <c:ptCount val="6"/>
                <c:pt idx="0">
                  <c:v>4830.22</c:v>
                </c:pt>
                <c:pt idx="1">
                  <c:v>1735.74</c:v>
                </c:pt>
                <c:pt idx="2">
                  <c:v>1239.73</c:v>
                </c:pt>
                <c:pt idx="3">
                  <c:v>455.97</c:v>
                </c:pt>
                <c:pt idx="4">
                  <c:v>286.95999999999998</c:v>
                </c:pt>
                <c:pt idx="5">
                  <c:v>892.6099999999999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9-4000-BE32-8D03E98EF18E}"/>
            </c:ext>
          </c:extLst>
        </c:ser>
        <c:ser>
          <c:idx val="1"/>
          <c:order val="1"/>
          <c:tx>
            <c:strRef>
              <c:f>'Chart&amp;KIP'!$H$17</c:f>
              <c:strCache>
                <c:ptCount val="1"/>
                <c:pt idx="0">
                  <c:v>SalesRat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'Chart&amp;KIP'!$F$18:$F$23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'Chart&amp;KIP'!$H$18:$H$23</c:f>
              <c:numCache>
                <c:formatCode>General</c:formatCode>
                <c:ptCount val="6"/>
                <c:pt idx="0">
                  <c:v>14355.62</c:v>
                </c:pt>
                <c:pt idx="1">
                  <c:v>5571.83</c:v>
                </c:pt>
                <c:pt idx="2">
                  <c:v>3193.29</c:v>
                </c:pt>
                <c:pt idx="3">
                  <c:v>1371.34</c:v>
                </c:pt>
                <c:pt idx="4">
                  <c:v>1057.8400000000001</c:v>
                </c:pt>
                <c:pt idx="5">
                  <c:v>2569.44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9-4000-BE32-8D03E98EF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27775"/>
        <c:axId val="307444095"/>
      </c:lineChart>
      <c:catAx>
        <c:axId val="3074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44095"/>
        <c:crosses val="autoZero"/>
        <c:auto val="1"/>
        <c:lblAlgn val="ctr"/>
        <c:lblOffset val="100"/>
        <c:noMultiLvlLbl val="0"/>
      </c:catAx>
      <c:valAx>
        <c:axId val="3074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2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[Analyzer.xlsx]Chart&amp;KIP!PivotTable11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4452124040050549"/>
              <c:y val="0.172364756488772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790172061825609E-2"/>
          <c:y val="0.15277777777777779"/>
          <c:w val="0.53086419753086422"/>
          <c:h val="0.79629629629629628"/>
        </c:manualLayout>
      </c:layout>
      <c:pieChart>
        <c:varyColors val="1"/>
        <c:ser>
          <c:idx val="0"/>
          <c:order val="0"/>
          <c:tx>
            <c:strRef>
              <c:f>'Chart&amp;KIP'!$K$5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7B-4E2A-AAD2-18EC5484B0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7B-4E2A-AAD2-18EC5484B0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7B-4E2A-AAD2-18EC5484B0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7B-4E2A-AAD2-18EC5484B0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7B-4E2A-AAD2-18EC5484B04A}"/>
              </c:ext>
            </c:extLst>
          </c:dPt>
          <c:dLbls>
            <c:dLbl>
              <c:idx val="4"/>
              <c:layout>
                <c:manualLayout>
                  <c:x val="0.14452124040050549"/>
                  <c:y val="0.172364756488772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7B-4E2A-AAD2-18EC5484B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'Chart&amp;KIP'!$J$6:$J$10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'Chart&amp;KIP'!$K$6:$K$10</c:f>
              <c:numCache>
                <c:formatCode>0.00%</c:formatCode>
                <c:ptCount val="5"/>
                <c:pt idx="0">
                  <c:v>0.39393939393939392</c:v>
                </c:pt>
                <c:pt idx="1">
                  <c:v>7.5757575757575746E-2</c:v>
                </c:pt>
                <c:pt idx="2">
                  <c:v>0.21212121212121213</c:v>
                </c:pt>
                <c:pt idx="3">
                  <c:v>0.21212121212121213</c:v>
                </c:pt>
                <c:pt idx="4">
                  <c:v>0.10606060606060605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7B-4E2A-AAD2-18EC5484B0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2.svg"/><Relationship Id="rId3" Type="http://schemas.openxmlformats.org/officeDocument/2006/relationships/chart" Target="../charts/chart1.xml"/><Relationship Id="rId7" Type="http://schemas.openxmlformats.org/officeDocument/2006/relationships/image" Target="../media/image8.svg"/><Relationship Id="rId12" Type="http://schemas.openxmlformats.org/officeDocument/2006/relationships/image" Target="../media/image11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4.svg"/><Relationship Id="rId5" Type="http://schemas.openxmlformats.org/officeDocument/2006/relationships/chart" Target="../charts/chart3.xml"/><Relationship Id="rId15" Type="http://schemas.openxmlformats.org/officeDocument/2006/relationships/image" Target="../media/image14.svg"/><Relationship Id="rId10" Type="http://schemas.openxmlformats.org/officeDocument/2006/relationships/image" Target="../media/image3.png"/><Relationship Id="rId4" Type="http://schemas.openxmlformats.org/officeDocument/2006/relationships/chart" Target="../charts/chart2.xml"/><Relationship Id="rId9" Type="http://schemas.openxmlformats.org/officeDocument/2006/relationships/image" Target="../media/image10.sv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49</xdr:row>
      <xdr:rowOff>9525</xdr:rowOff>
    </xdr:from>
    <xdr:to>
      <xdr:col>0</xdr:col>
      <xdr:colOff>847725</xdr:colOff>
      <xdr:row>50</xdr:row>
      <xdr:rowOff>161925</xdr:rowOff>
    </xdr:to>
    <xdr:pic>
      <xdr:nvPicPr>
        <xdr:cNvPr id="7" name="Graphic 6" descr="Bar chart with solid fill">
          <a:extLst>
            <a:ext uri="{FF2B5EF4-FFF2-40B4-BE49-F238E27FC236}">
              <a16:creationId xmlns:a16="http://schemas.microsoft.com/office/drawing/2014/main" id="{1070861D-DECC-2452-2B0F-471F4C6E2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4825" y="8582025"/>
          <a:ext cx="342900" cy="342900"/>
        </a:xfrm>
        <a:prstGeom prst="rect">
          <a:avLst/>
        </a:prstGeom>
      </xdr:spPr>
    </xdr:pic>
    <xdr:clientData/>
  </xdr:twoCellAnchor>
  <xdr:twoCellAnchor editAs="absolute">
    <xdr:from>
      <xdr:col>1</xdr:col>
      <xdr:colOff>588150</xdr:colOff>
      <xdr:row>49</xdr:row>
      <xdr:rowOff>7125</xdr:rowOff>
    </xdr:from>
    <xdr:to>
      <xdr:col>1</xdr:col>
      <xdr:colOff>981075</xdr:colOff>
      <xdr:row>51</xdr:row>
      <xdr:rowOff>19050</xdr:rowOff>
    </xdr:to>
    <xdr:pic>
      <xdr:nvPicPr>
        <xdr:cNvPr id="9" name="Graphic 8" descr="Bar graph with upward trend with solid fill">
          <a:extLst>
            <a:ext uri="{FF2B5EF4-FFF2-40B4-BE49-F238E27FC236}">
              <a16:creationId xmlns:a16="http://schemas.microsoft.com/office/drawing/2014/main" id="{AB140829-B974-9077-5AFF-0DD02982E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31175" y="8579625"/>
          <a:ext cx="392925" cy="392925"/>
        </a:xfrm>
        <a:prstGeom prst="rect">
          <a:avLst/>
        </a:prstGeom>
      </xdr:spPr>
    </xdr:pic>
    <xdr:clientData/>
  </xdr:twoCellAnchor>
  <xdr:twoCellAnchor editAs="absolute">
    <xdr:from>
      <xdr:col>2</xdr:col>
      <xdr:colOff>409574</xdr:colOff>
      <xdr:row>49</xdr:row>
      <xdr:rowOff>28574</xdr:rowOff>
    </xdr:from>
    <xdr:to>
      <xdr:col>2</xdr:col>
      <xdr:colOff>761999</xdr:colOff>
      <xdr:row>50</xdr:row>
      <xdr:rowOff>190499</xdr:rowOff>
    </xdr:to>
    <xdr:pic>
      <xdr:nvPicPr>
        <xdr:cNvPr id="11" name="Graphic 10" descr="Bullseye with solid fill">
          <a:extLst>
            <a:ext uri="{FF2B5EF4-FFF2-40B4-BE49-F238E27FC236}">
              <a16:creationId xmlns:a16="http://schemas.microsoft.com/office/drawing/2014/main" id="{6BF4574A-EE6F-6935-A85D-4D4CD1FC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24199" y="9363074"/>
          <a:ext cx="352425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28574</xdr:colOff>
      <xdr:row>0</xdr:row>
      <xdr:rowOff>38100</xdr:rowOff>
    </xdr:from>
    <xdr:to>
      <xdr:col>11</xdr:col>
      <xdr:colOff>295275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255504-2845-881E-6A8C-B888B5A54073}"/>
            </a:ext>
          </a:extLst>
        </xdr:cNvPr>
        <xdr:cNvSpPr/>
      </xdr:nvSpPr>
      <xdr:spPr>
        <a:xfrm>
          <a:off x="1247774" y="38100"/>
          <a:ext cx="5753101" cy="5238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114300</xdr:colOff>
      <xdr:row>0</xdr:row>
      <xdr:rowOff>95249</xdr:rowOff>
    </xdr:from>
    <xdr:to>
      <xdr:col>11</xdr:col>
      <xdr:colOff>200025</xdr:colOff>
      <xdr:row>2</xdr:row>
      <xdr:rowOff>66674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8C22F3-0C4A-5468-B3AA-F5F4B6529C02}"/>
            </a:ext>
          </a:extLst>
        </xdr:cNvPr>
        <xdr:cNvSpPr txBox="1"/>
      </xdr:nvSpPr>
      <xdr:spPr>
        <a:xfrm>
          <a:off x="1333500" y="95249"/>
          <a:ext cx="55721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Sales &amp; Profit Performance Dashboard</a:t>
          </a:r>
        </a:p>
      </xdr:txBody>
    </xdr:sp>
    <xdr:clientData/>
  </xdr:twoCellAnchor>
  <xdr:twoCellAnchor editAs="absolute">
    <xdr:from>
      <xdr:col>0</xdr:col>
      <xdr:colOff>66674</xdr:colOff>
      <xdr:row>0</xdr:row>
      <xdr:rowOff>38100</xdr:rowOff>
    </xdr:from>
    <xdr:to>
      <xdr:col>1</xdr:col>
      <xdr:colOff>581025</xdr:colOff>
      <xdr:row>2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3C7CE7-B002-9255-B522-6456E8B418AF}"/>
            </a:ext>
          </a:extLst>
        </xdr:cNvPr>
        <xdr:cNvSpPr/>
      </xdr:nvSpPr>
      <xdr:spPr>
        <a:xfrm>
          <a:off x="66674" y="38100"/>
          <a:ext cx="1123951" cy="5238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171449</xdr:colOff>
      <xdr:row>0</xdr:row>
      <xdr:rowOff>76200</xdr:rowOff>
    </xdr:from>
    <xdr:to>
      <xdr:col>1</xdr:col>
      <xdr:colOff>561974</xdr:colOff>
      <xdr:row>2</xdr:row>
      <xdr:rowOff>180975</xdr:rowOff>
    </xdr:to>
    <xdr:pic>
      <xdr:nvPicPr>
        <xdr:cNvPr id="6" name="Graphic 5" descr="Bar chart with solid fill">
          <a:extLst>
            <a:ext uri="{FF2B5EF4-FFF2-40B4-BE49-F238E27FC236}">
              <a16:creationId xmlns:a16="http://schemas.microsoft.com/office/drawing/2014/main" id="{F0216332-EE03-BDFF-701B-B0E5A3868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49" y="76200"/>
          <a:ext cx="1000125" cy="4857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6</xdr:row>
      <xdr:rowOff>171450</xdr:rowOff>
    </xdr:from>
    <xdr:to>
      <xdr:col>6</xdr:col>
      <xdr:colOff>333375</xdr:colOff>
      <xdr:row>21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431197-517B-4F72-9303-956736939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419100</xdr:colOff>
      <xdr:row>6</xdr:row>
      <xdr:rowOff>171450</xdr:rowOff>
    </xdr:from>
    <xdr:to>
      <xdr:col>13</xdr:col>
      <xdr:colOff>171450</xdr:colOff>
      <xdr:row>21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77DC37-3BFE-4360-B22E-95FBE87D7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13</xdr:col>
      <xdr:colOff>238125</xdr:colOff>
      <xdr:row>6</xdr:row>
      <xdr:rowOff>161925</xdr:rowOff>
    </xdr:from>
    <xdr:to>
      <xdr:col>20</xdr:col>
      <xdr:colOff>85725</xdr:colOff>
      <xdr:row>21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DE1849-6955-4F69-ACA5-4B76CE8D4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76200</xdr:colOff>
      <xdr:row>3</xdr:row>
      <xdr:rowOff>47625</xdr:rowOff>
    </xdr:from>
    <xdr:to>
      <xdr:col>5</xdr:col>
      <xdr:colOff>19303</xdr:colOff>
      <xdr:row>6</xdr:row>
      <xdr:rowOff>104775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632F40-663F-4FC2-2B2F-DDD0CBFBE55F}"/>
            </a:ext>
          </a:extLst>
        </xdr:cNvPr>
        <xdr:cNvSpPr/>
      </xdr:nvSpPr>
      <xdr:spPr>
        <a:xfrm>
          <a:off x="76200" y="619125"/>
          <a:ext cx="2991103" cy="6286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84328</xdr:colOff>
      <xdr:row>3</xdr:row>
      <xdr:rowOff>47625</xdr:rowOff>
    </xdr:from>
    <xdr:to>
      <xdr:col>10</xdr:col>
      <xdr:colOff>27431</xdr:colOff>
      <xdr:row>6</xdr:row>
      <xdr:rowOff>104775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F21CD04-0016-68F6-9AC1-8DDE6A8D594A}"/>
            </a:ext>
          </a:extLst>
        </xdr:cNvPr>
        <xdr:cNvSpPr/>
      </xdr:nvSpPr>
      <xdr:spPr>
        <a:xfrm>
          <a:off x="3132328" y="619125"/>
          <a:ext cx="2991103" cy="6286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10</xdr:col>
      <xdr:colOff>114131</xdr:colOff>
      <xdr:row>3</xdr:row>
      <xdr:rowOff>47625</xdr:rowOff>
    </xdr:from>
    <xdr:to>
      <xdr:col>15</xdr:col>
      <xdr:colOff>57234</xdr:colOff>
      <xdr:row>6</xdr:row>
      <xdr:rowOff>104775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EAB6F2F-F14A-BBCD-F9E7-01725AA3B623}"/>
            </a:ext>
          </a:extLst>
        </xdr:cNvPr>
        <xdr:cNvSpPr/>
      </xdr:nvSpPr>
      <xdr:spPr>
        <a:xfrm>
          <a:off x="6210131" y="619125"/>
          <a:ext cx="2991103" cy="6286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15</xdr:col>
      <xdr:colOff>133097</xdr:colOff>
      <xdr:row>3</xdr:row>
      <xdr:rowOff>47625</xdr:rowOff>
    </xdr:from>
    <xdr:to>
      <xdr:col>20</xdr:col>
      <xdr:colOff>76200</xdr:colOff>
      <xdr:row>6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DA8BA18-F738-52C9-ED76-6E8A40EF0E1D}"/>
            </a:ext>
          </a:extLst>
        </xdr:cNvPr>
        <xdr:cNvSpPr/>
      </xdr:nvSpPr>
      <xdr:spPr>
        <a:xfrm>
          <a:off x="9277097" y="619125"/>
          <a:ext cx="2991103" cy="6286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11</xdr:col>
      <xdr:colOff>342731</xdr:colOff>
      <xdr:row>0</xdr:row>
      <xdr:rowOff>57150</xdr:rowOff>
    </xdr:from>
    <xdr:to>
      <xdr:col>15</xdr:col>
      <xdr:colOff>485564</xdr:colOff>
      <xdr:row>2</xdr:row>
      <xdr:rowOff>180975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4F3C8AC-856C-1D78-54CF-3CA26CA42472}"/>
            </a:ext>
          </a:extLst>
        </xdr:cNvPr>
        <xdr:cNvSpPr/>
      </xdr:nvSpPr>
      <xdr:spPr>
        <a:xfrm>
          <a:off x="7048331" y="57150"/>
          <a:ext cx="2581233" cy="5048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15</xdr:col>
      <xdr:colOff>533442</xdr:colOff>
      <xdr:row>0</xdr:row>
      <xdr:rowOff>47625</xdr:rowOff>
    </xdr:from>
    <xdr:to>
      <xdr:col>20</xdr:col>
      <xdr:colOff>66675</xdr:colOff>
      <xdr:row>2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AC77FCE-1292-ADBB-0D59-EA12C67D4E2B}"/>
            </a:ext>
          </a:extLst>
        </xdr:cNvPr>
        <xdr:cNvSpPr/>
      </xdr:nvSpPr>
      <xdr:spPr>
        <a:xfrm>
          <a:off x="9677442" y="47625"/>
          <a:ext cx="2581233" cy="5048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11</xdr:col>
      <xdr:colOff>561975</xdr:colOff>
      <xdr:row>0</xdr:row>
      <xdr:rowOff>85725</xdr:rowOff>
    </xdr:from>
    <xdr:to>
      <xdr:col>14</xdr:col>
      <xdr:colOff>0</xdr:colOff>
      <xdr:row>1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6FE7258-1502-88BD-7D41-250393949EFC}"/>
            </a:ext>
          </a:extLst>
        </xdr:cNvPr>
        <xdr:cNvSpPr txBox="1"/>
      </xdr:nvSpPr>
      <xdr:spPr>
        <a:xfrm>
          <a:off x="7267575" y="85725"/>
          <a:ext cx="1266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1"/>
              </a:solidFill>
            </a:rPr>
            <a:t>Total Customer</a:t>
          </a:r>
        </a:p>
      </xdr:txBody>
    </xdr:sp>
    <xdr:clientData/>
  </xdr:twoCellAnchor>
  <xdr:twoCellAnchor editAs="absolute">
    <xdr:from>
      <xdr:col>11</xdr:col>
      <xdr:colOff>590550</xdr:colOff>
      <xdr:row>1</xdr:row>
      <xdr:rowOff>47625</xdr:rowOff>
    </xdr:from>
    <xdr:to>
      <xdr:col>12</xdr:col>
      <xdr:colOff>466725</xdr:colOff>
      <xdr:row>2</xdr:row>
      <xdr:rowOff>104775</xdr:rowOff>
    </xdr:to>
    <xdr:sp macro="" textlink="'Chart&amp;KIP'!A7">
      <xdr:nvSpPr>
        <xdr:cNvPr id="22" name="TextBox 21">
          <a:extLst>
            <a:ext uri="{FF2B5EF4-FFF2-40B4-BE49-F238E27FC236}">
              <a16:creationId xmlns:a16="http://schemas.microsoft.com/office/drawing/2014/main" id="{F9EEA334-7EB1-4A1F-D18C-3743D93F38DE}"/>
            </a:ext>
          </a:extLst>
        </xdr:cNvPr>
        <xdr:cNvSpPr txBox="1"/>
      </xdr:nvSpPr>
      <xdr:spPr>
        <a:xfrm>
          <a:off x="7296150" y="238125"/>
          <a:ext cx="4857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E2C6E1-104C-4F49-9566-EB83B5DACF4C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/>
            <a:t>30</a:t>
          </a:fld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523875</xdr:colOff>
      <xdr:row>0</xdr:row>
      <xdr:rowOff>57150</xdr:rowOff>
    </xdr:from>
    <xdr:to>
      <xdr:col>15</xdr:col>
      <xdr:colOff>438150</xdr:colOff>
      <xdr:row>3</xdr:row>
      <xdr:rowOff>9525</xdr:rowOff>
    </xdr:to>
    <xdr:pic>
      <xdr:nvPicPr>
        <xdr:cNvPr id="24" name="Graphic 23" descr="Male profile with solid fill">
          <a:extLst>
            <a:ext uri="{FF2B5EF4-FFF2-40B4-BE49-F238E27FC236}">
              <a16:creationId xmlns:a16="http://schemas.microsoft.com/office/drawing/2014/main" id="{309A6C06-A87A-B2BA-8B40-46A4C6B3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058275" y="57150"/>
          <a:ext cx="523875" cy="523875"/>
        </a:xfrm>
        <a:prstGeom prst="rect">
          <a:avLst/>
        </a:prstGeom>
      </xdr:spPr>
    </xdr:pic>
    <xdr:clientData/>
  </xdr:twoCellAnchor>
  <xdr:twoCellAnchor editAs="absolute">
    <xdr:from>
      <xdr:col>16</xdr:col>
      <xdr:colOff>38100</xdr:colOff>
      <xdr:row>0</xdr:row>
      <xdr:rowOff>66675</xdr:rowOff>
    </xdr:from>
    <xdr:to>
      <xdr:col>18</xdr:col>
      <xdr:colOff>85725</xdr:colOff>
      <xdr:row>1</xdr:row>
      <xdr:rowOff>133350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EC50900-8E46-F03D-4D7D-7C43C70E14F0}"/>
            </a:ext>
          </a:extLst>
        </xdr:cNvPr>
        <xdr:cNvSpPr txBox="1"/>
      </xdr:nvSpPr>
      <xdr:spPr>
        <a:xfrm>
          <a:off x="9791700" y="66675"/>
          <a:ext cx="1266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1"/>
              </a:solidFill>
            </a:rPr>
            <a:t>Total </a:t>
          </a:r>
          <a:r>
            <a:rPr lang="en-IN" sz="1200" baseline="0">
              <a:solidFill>
                <a:schemeClr val="tx1"/>
              </a:solidFill>
            </a:rPr>
            <a:t> Sales</a:t>
          </a:r>
        </a:p>
      </xdr:txBody>
    </xdr:sp>
    <xdr:clientData/>
  </xdr:twoCellAnchor>
  <xdr:twoCellAnchor editAs="absolute">
    <xdr:from>
      <xdr:col>16</xdr:col>
      <xdr:colOff>76200</xdr:colOff>
      <xdr:row>1</xdr:row>
      <xdr:rowOff>66675</xdr:rowOff>
    </xdr:from>
    <xdr:to>
      <xdr:col>17</xdr:col>
      <xdr:colOff>190500</xdr:colOff>
      <xdr:row>2</xdr:row>
      <xdr:rowOff>133350</xdr:rowOff>
    </xdr:to>
    <xdr:sp macro="" textlink="'Chart&amp;KIP'!F12">
      <xdr:nvSpPr>
        <xdr:cNvPr id="28" name="TextBox 27">
          <a:extLst>
            <a:ext uri="{FF2B5EF4-FFF2-40B4-BE49-F238E27FC236}">
              <a16:creationId xmlns:a16="http://schemas.microsoft.com/office/drawing/2014/main" id="{424AE085-86F2-76F7-B337-587AD7DC0DD8}"/>
            </a:ext>
          </a:extLst>
        </xdr:cNvPr>
        <xdr:cNvSpPr txBox="1"/>
      </xdr:nvSpPr>
      <xdr:spPr>
        <a:xfrm>
          <a:off x="9829800" y="257175"/>
          <a:ext cx="723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E152497-265E-4C51-B342-F3681621C05A}" type="TxLink">
            <a:rPr lang="en-US" sz="1050" b="0" i="0" u="none" strike="noStrike">
              <a:solidFill>
                <a:srgbClr val="000000"/>
              </a:solidFill>
              <a:latin typeface="Aptos Narrow"/>
            </a:rPr>
            <a:pPr/>
            <a:t>28119.36</a:t>
          </a:fld>
          <a:endParaRPr lang="en-IN" sz="105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19</xdr:col>
      <xdr:colOff>114300</xdr:colOff>
      <xdr:row>0</xdr:row>
      <xdr:rowOff>95249</xdr:rowOff>
    </xdr:from>
    <xdr:to>
      <xdr:col>19</xdr:col>
      <xdr:colOff>552450</xdr:colOff>
      <xdr:row>2</xdr:row>
      <xdr:rowOff>85724</xdr:rowOff>
    </xdr:to>
    <xdr:pic>
      <xdr:nvPicPr>
        <xdr:cNvPr id="30" name="Graphic 29" descr="Coins with solid fill">
          <a:extLst>
            <a:ext uri="{FF2B5EF4-FFF2-40B4-BE49-F238E27FC236}">
              <a16:creationId xmlns:a16="http://schemas.microsoft.com/office/drawing/2014/main" id="{1FD695E6-BC2C-BB6A-260C-1CF8896EC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1696700" y="95249"/>
          <a:ext cx="438150" cy="371475"/>
        </a:xfrm>
        <a:prstGeom prst="rect">
          <a:avLst/>
        </a:prstGeom>
      </xdr:spPr>
    </xdr:pic>
    <xdr:clientData/>
  </xdr:twoCellAnchor>
  <xdr:twoCellAnchor editAs="absolute">
    <xdr:from>
      <xdr:col>0</xdr:col>
      <xdr:colOff>219075</xdr:colOff>
      <xdr:row>3</xdr:row>
      <xdr:rowOff>114300</xdr:rowOff>
    </xdr:from>
    <xdr:to>
      <xdr:col>2</xdr:col>
      <xdr:colOff>428625</xdr:colOff>
      <xdr:row>5</xdr:row>
      <xdr:rowOff>19050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2B07EFD-C59D-15E7-DE02-A36B72920E70}"/>
            </a:ext>
          </a:extLst>
        </xdr:cNvPr>
        <xdr:cNvSpPr txBox="1"/>
      </xdr:nvSpPr>
      <xdr:spPr>
        <a:xfrm>
          <a:off x="219075" y="685800"/>
          <a:ext cx="1428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Total </a:t>
          </a:r>
          <a:r>
            <a:rPr lang="en-IN" sz="1400" baseline="0">
              <a:solidFill>
                <a:schemeClr val="tx1"/>
              </a:solidFill>
            </a:rPr>
            <a:t> Purchase</a:t>
          </a:r>
        </a:p>
      </xdr:txBody>
    </xdr:sp>
    <xdr:clientData/>
  </xdr:twoCellAnchor>
  <xdr:twoCellAnchor editAs="absolute">
    <xdr:from>
      <xdr:col>5</xdr:col>
      <xdr:colOff>266700</xdr:colOff>
      <xdr:row>3</xdr:row>
      <xdr:rowOff>114300</xdr:rowOff>
    </xdr:from>
    <xdr:to>
      <xdr:col>7</xdr:col>
      <xdr:colOff>314325</xdr:colOff>
      <xdr:row>5</xdr:row>
      <xdr:rowOff>19050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5CF50DA-C383-0099-9204-159A94FB5DD2}"/>
            </a:ext>
          </a:extLst>
        </xdr:cNvPr>
        <xdr:cNvSpPr txBox="1"/>
      </xdr:nvSpPr>
      <xdr:spPr>
        <a:xfrm>
          <a:off x="3314700" y="685800"/>
          <a:ext cx="12668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Total </a:t>
          </a:r>
          <a:r>
            <a:rPr lang="en-IN" sz="1400" baseline="0">
              <a:solidFill>
                <a:schemeClr val="tx1"/>
              </a:solidFill>
            </a:rPr>
            <a:t> Profit</a:t>
          </a:r>
        </a:p>
        <a:p>
          <a:endParaRPr lang="en-IN" sz="1400" baseline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10</xdr:col>
      <xdr:colOff>304800</xdr:colOff>
      <xdr:row>3</xdr:row>
      <xdr:rowOff>114300</xdr:rowOff>
    </xdr:from>
    <xdr:to>
      <xdr:col>12</xdr:col>
      <xdr:colOff>352425</xdr:colOff>
      <xdr:row>5</xdr:row>
      <xdr:rowOff>19050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53A8ACB-341B-345F-4D20-8B5DE1A155F5}"/>
            </a:ext>
          </a:extLst>
        </xdr:cNvPr>
        <xdr:cNvSpPr txBox="1"/>
      </xdr:nvSpPr>
      <xdr:spPr>
        <a:xfrm>
          <a:off x="6400800" y="685800"/>
          <a:ext cx="12668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Average </a:t>
          </a:r>
          <a:r>
            <a:rPr lang="en-IN" sz="1400" baseline="0">
              <a:solidFill>
                <a:schemeClr val="tx1"/>
              </a:solidFill>
            </a:rPr>
            <a:t> Profit</a:t>
          </a:r>
        </a:p>
        <a:p>
          <a:endParaRPr lang="en-IN" sz="1400" baseline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15</xdr:col>
      <xdr:colOff>285750</xdr:colOff>
      <xdr:row>3</xdr:row>
      <xdr:rowOff>104775</xdr:rowOff>
    </xdr:from>
    <xdr:to>
      <xdr:col>17</xdr:col>
      <xdr:colOff>333375</xdr:colOff>
      <xdr:row>5</xdr:row>
      <xdr:rowOff>9525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9944FED-BF20-00F4-611D-49046CF0BF07}"/>
            </a:ext>
          </a:extLst>
        </xdr:cNvPr>
        <xdr:cNvSpPr txBox="1"/>
      </xdr:nvSpPr>
      <xdr:spPr>
        <a:xfrm>
          <a:off x="9429750" y="676275"/>
          <a:ext cx="12668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</a:rPr>
            <a:t>Average </a:t>
          </a:r>
          <a:r>
            <a:rPr lang="en-IN" sz="1400" baseline="0">
              <a:solidFill>
                <a:schemeClr val="tx1"/>
              </a:solidFill>
            </a:rPr>
            <a:t> Sales</a:t>
          </a:r>
        </a:p>
        <a:p>
          <a:endParaRPr lang="en-IN" sz="1400" baseline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10</xdr:col>
      <xdr:colOff>314325</xdr:colOff>
      <xdr:row>4</xdr:row>
      <xdr:rowOff>152400</xdr:rowOff>
    </xdr:from>
    <xdr:to>
      <xdr:col>12</xdr:col>
      <xdr:colOff>19050</xdr:colOff>
      <xdr:row>6</xdr:row>
      <xdr:rowOff>19050</xdr:rowOff>
    </xdr:to>
    <xdr:sp macro="" textlink="'Chart&amp;KIP'!A12">
      <xdr:nvSpPr>
        <xdr:cNvPr id="40" name="TextBox 39">
          <a:extLst>
            <a:ext uri="{FF2B5EF4-FFF2-40B4-BE49-F238E27FC236}">
              <a16:creationId xmlns:a16="http://schemas.microsoft.com/office/drawing/2014/main" id="{5204281A-B1E2-2705-FB9F-645501AA064D}"/>
            </a:ext>
          </a:extLst>
        </xdr:cNvPr>
        <xdr:cNvSpPr txBox="1"/>
      </xdr:nvSpPr>
      <xdr:spPr>
        <a:xfrm>
          <a:off x="6410325" y="914400"/>
          <a:ext cx="9239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D4521CF-C93D-414F-AF02-053693B739E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314.71</a:t>
          </a:fld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15</xdr:col>
      <xdr:colOff>304800</xdr:colOff>
      <xdr:row>4</xdr:row>
      <xdr:rowOff>161925</xdr:rowOff>
    </xdr:from>
    <xdr:to>
      <xdr:col>17</xdr:col>
      <xdr:colOff>9525</xdr:colOff>
      <xdr:row>6</xdr:row>
      <xdr:rowOff>28575</xdr:rowOff>
    </xdr:to>
    <xdr:sp macro="" textlink="'Chart&amp;KIP'!D12">
      <xdr:nvSpPr>
        <xdr:cNvPr id="41" name="TextBox 40">
          <a:extLst>
            <a:ext uri="{FF2B5EF4-FFF2-40B4-BE49-F238E27FC236}">
              <a16:creationId xmlns:a16="http://schemas.microsoft.com/office/drawing/2014/main" id="{D6F80EF0-D4A0-5563-F1FF-C09D5EC67676}"/>
            </a:ext>
          </a:extLst>
        </xdr:cNvPr>
        <xdr:cNvSpPr txBox="1"/>
      </xdr:nvSpPr>
      <xdr:spPr>
        <a:xfrm>
          <a:off x="9448800" y="923925"/>
          <a:ext cx="9239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A56FD67-F401-4A70-B282-ED09DF94A51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7495.57</a:t>
          </a:fld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285750</xdr:colOff>
      <xdr:row>4</xdr:row>
      <xdr:rowOff>161925</xdr:rowOff>
    </xdr:from>
    <xdr:to>
      <xdr:col>6</xdr:col>
      <xdr:colOff>600075</xdr:colOff>
      <xdr:row>6</xdr:row>
      <xdr:rowOff>28575</xdr:rowOff>
    </xdr:to>
    <xdr:sp macro="" textlink="'Chart&amp;KIP'!G7">
      <xdr:nvSpPr>
        <xdr:cNvPr id="42" name="TextBox 41">
          <a:extLst>
            <a:ext uri="{FF2B5EF4-FFF2-40B4-BE49-F238E27FC236}">
              <a16:creationId xmlns:a16="http://schemas.microsoft.com/office/drawing/2014/main" id="{A0F9BD19-AEFE-EC41-E07F-24F1283105A8}"/>
            </a:ext>
          </a:extLst>
        </xdr:cNvPr>
        <xdr:cNvSpPr txBox="1"/>
      </xdr:nvSpPr>
      <xdr:spPr>
        <a:xfrm>
          <a:off x="3333750" y="923925"/>
          <a:ext cx="9239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D28CF0D-D822-4AC2-9BED-C044263CD59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9441.23</a:t>
          </a:fld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266700</xdr:colOff>
      <xdr:row>4</xdr:row>
      <xdr:rowOff>152400</xdr:rowOff>
    </xdr:from>
    <xdr:to>
      <xdr:col>1</xdr:col>
      <xdr:colOff>581025</xdr:colOff>
      <xdr:row>6</xdr:row>
      <xdr:rowOff>19050</xdr:rowOff>
    </xdr:to>
    <xdr:sp macro="" textlink="'Chart&amp;KIP'!D7">
      <xdr:nvSpPr>
        <xdr:cNvPr id="43" name="TextBox 42">
          <a:extLst>
            <a:ext uri="{FF2B5EF4-FFF2-40B4-BE49-F238E27FC236}">
              <a16:creationId xmlns:a16="http://schemas.microsoft.com/office/drawing/2014/main" id="{887BF13A-CE41-238E-3ADB-A4CB3AB0B465}"/>
            </a:ext>
          </a:extLst>
        </xdr:cNvPr>
        <xdr:cNvSpPr txBox="1"/>
      </xdr:nvSpPr>
      <xdr:spPr>
        <a:xfrm>
          <a:off x="266700" y="914400"/>
          <a:ext cx="9239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F66B25E-6A17-46ED-B753-5AE6A4A5668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224867.22</a:t>
          </a:fld>
          <a:endParaRPr lang="en-IN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66675</xdr:colOff>
      <xdr:row>3</xdr:row>
      <xdr:rowOff>152400</xdr:rowOff>
    </xdr:from>
    <xdr:to>
      <xdr:col>4</xdr:col>
      <xdr:colOff>523875</xdr:colOff>
      <xdr:row>6</xdr:row>
      <xdr:rowOff>38100</xdr:rowOff>
    </xdr:to>
    <xdr:pic>
      <xdr:nvPicPr>
        <xdr:cNvPr id="45" name="Graphic 44" descr="Bar chart with solid fill">
          <a:extLst>
            <a:ext uri="{FF2B5EF4-FFF2-40B4-BE49-F238E27FC236}">
              <a16:creationId xmlns:a16="http://schemas.microsoft.com/office/drawing/2014/main" id="{DF94B476-5D89-9989-F8F0-B94B7CCF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05075" y="723900"/>
          <a:ext cx="457200" cy="457200"/>
        </a:xfrm>
        <a:prstGeom prst="rect">
          <a:avLst/>
        </a:prstGeom>
      </xdr:spPr>
    </xdr:pic>
    <xdr:clientData/>
  </xdr:twoCellAnchor>
  <xdr:twoCellAnchor editAs="absolute">
    <xdr:from>
      <xdr:col>19</xdr:col>
      <xdr:colOff>42825</xdr:colOff>
      <xdr:row>3</xdr:row>
      <xdr:rowOff>140475</xdr:rowOff>
    </xdr:from>
    <xdr:to>
      <xdr:col>19</xdr:col>
      <xdr:colOff>540525</xdr:colOff>
      <xdr:row>6</xdr:row>
      <xdr:rowOff>66675</xdr:rowOff>
    </xdr:to>
    <xdr:pic>
      <xdr:nvPicPr>
        <xdr:cNvPr id="47" name="Graphic 46" descr="Bar graph with upward trend with solid fill">
          <a:extLst>
            <a:ext uri="{FF2B5EF4-FFF2-40B4-BE49-F238E27FC236}">
              <a16:creationId xmlns:a16="http://schemas.microsoft.com/office/drawing/2014/main" id="{E8076E1B-06E8-DA15-8723-5C015C3A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625225" y="711975"/>
          <a:ext cx="497700" cy="497700"/>
        </a:xfrm>
        <a:prstGeom prst="rect">
          <a:avLst/>
        </a:prstGeom>
      </xdr:spPr>
    </xdr:pic>
    <xdr:clientData/>
  </xdr:twoCellAnchor>
  <xdr:twoCellAnchor editAs="absolute">
    <xdr:from>
      <xdr:col>9</xdr:col>
      <xdr:colOff>49950</xdr:colOff>
      <xdr:row>3</xdr:row>
      <xdr:rowOff>135675</xdr:rowOff>
    </xdr:from>
    <xdr:to>
      <xdr:col>9</xdr:col>
      <xdr:colOff>523875</xdr:colOff>
      <xdr:row>6</xdr:row>
      <xdr:rowOff>38100</xdr:rowOff>
    </xdr:to>
    <xdr:pic>
      <xdr:nvPicPr>
        <xdr:cNvPr id="51" name="Graphic 50" descr="Upward trend with solid fill">
          <a:extLst>
            <a:ext uri="{FF2B5EF4-FFF2-40B4-BE49-F238E27FC236}">
              <a16:creationId xmlns:a16="http://schemas.microsoft.com/office/drawing/2014/main" id="{647D4A15-96FA-B1A8-5A0D-05979BE0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536350" y="707175"/>
          <a:ext cx="473925" cy="473925"/>
        </a:xfrm>
        <a:prstGeom prst="rect">
          <a:avLst/>
        </a:prstGeom>
      </xdr:spPr>
    </xdr:pic>
    <xdr:clientData/>
  </xdr:twoCellAnchor>
  <xdr:twoCellAnchor editAs="absolute">
    <xdr:from>
      <xdr:col>14</xdr:col>
      <xdr:colOff>104775</xdr:colOff>
      <xdr:row>3</xdr:row>
      <xdr:rowOff>95250</xdr:rowOff>
    </xdr:from>
    <xdr:to>
      <xdr:col>15</xdr:col>
      <xdr:colOff>38100</xdr:colOff>
      <xdr:row>6</xdr:row>
      <xdr:rowOff>66675</xdr:rowOff>
    </xdr:to>
    <xdr:pic>
      <xdr:nvPicPr>
        <xdr:cNvPr id="53" name="Graphic 52" descr="Upward trend with solid fill">
          <a:extLst>
            <a:ext uri="{FF2B5EF4-FFF2-40B4-BE49-F238E27FC236}">
              <a16:creationId xmlns:a16="http://schemas.microsoft.com/office/drawing/2014/main" id="{7DC1195E-6561-D704-A5B0-EEE7A4A0D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639175" y="666750"/>
          <a:ext cx="542925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0.31667</cdr:x>
      <cdr:y>0.01389</cdr:y>
    </cdr:from>
    <cdr:to>
      <cdr:x>0.90049</cdr:x>
      <cdr:y>0.10764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A2DBD45-499A-1224-A054-6C02E860A42A}"/>
            </a:ext>
          </a:extLst>
        </cdr:cNvPr>
        <cdr:cNvSpPr txBox="1"/>
      </cdr:nvSpPr>
      <cdr:spPr>
        <a:xfrm xmlns:a="http://schemas.openxmlformats.org/drawingml/2006/main">
          <a:off x="1242696" y="38100"/>
          <a:ext cx="2291079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/>
            <a:t>Region</a:t>
          </a:r>
          <a:r>
            <a:rPr lang="en-IN" sz="1400" baseline="0"/>
            <a:t> Wise Sales &amp; Profit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0.21327</cdr:x>
      <cdr:y>0.02894</cdr:y>
    </cdr:from>
    <cdr:to>
      <cdr:x>0.80069</cdr:x>
      <cdr:y>0.13028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52218A-1F24-EDEA-FF75-9CF750010F91}"/>
            </a:ext>
          </a:extLst>
        </cdr:cNvPr>
        <cdr:cNvSpPr txBox="1"/>
      </cdr:nvSpPr>
      <cdr:spPr>
        <a:xfrm xmlns:a="http://schemas.openxmlformats.org/drawingml/2006/main">
          <a:off x="857250" y="78273"/>
          <a:ext cx="2361181" cy="2741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aseline="0"/>
            <a:t>Month Wise Sales &amp; Profit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0.11574</cdr:x>
      <cdr:y>0.02431</cdr:y>
    </cdr:from>
    <cdr:to>
      <cdr:x>0.81713</cdr:x>
      <cdr:y>0.12847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FCB4E9-8216-3CA6-5024-9EF890CF62DE}"/>
            </a:ext>
          </a:extLst>
        </cdr:cNvPr>
        <cdr:cNvSpPr txBox="1"/>
      </cdr:nvSpPr>
      <cdr:spPr>
        <a:xfrm xmlns:a="http://schemas.openxmlformats.org/drawingml/2006/main">
          <a:off x="476250" y="66687"/>
          <a:ext cx="2886077" cy="285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>
              <a:solidFill>
                <a:schemeClr val="tx1"/>
              </a:solidFill>
            </a:rPr>
            <a:t>Product</a:t>
          </a:r>
          <a:r>
            <a:rPr lang="en-IN" sz="1400" baseline="0">
              <a:solidFill>
                <a:schemeClr val="tx1"/>
              </a:solidFill>
            </a:rPr>
            <a:t>  Category Wise Total Discount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i" refreshedDate="46301.672883101855" createdVersion="8" refreshedVersion="8" minRefreshableVersion="3" recordCount="30" xr:uid="{4E8D1DC4-2D09-45FB-9E88-D1C50A82F4D2}">
  <cacheSource type="worksheet">
    <worksheetSource ref="A5:L35" sheet="Data_Cleaning&amp;Analysis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North"/>
        <s v="South"/>
        <s v="Central"/>
        <s v="East"/>
      </sharedItems>
    </cacheField>
    <cacheField name="Product_Category" numFmtId="0">
      <sharedItems count="5">
        <s v="Electronics"/>
        <s v="Books"/>
        <s v="Furniture"/>
        <s v="Clothing"/>
        <s v="Office Supplies"/>
      </sharedItems>
    </cacheField>
    <cacheField name="Sales" numFmtId="0">
      <sharedItems containsSemiMixedTypes="0" containsString="0" containsNumber="1" minValue="388.56" maxValue="1572.82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Months" numFmtId="9">
      <sharedItems/>
    </cacheField>
    <cacheField name="Order_Date" numFmtId="14">
      <sharedItems containsSemiMixedTypes="0" containsNonDate="0" containsDate="1" containsString="0" minDate="2024-04-10T00:00:00" maxDate="2024-09-23T00:00:00"/>
    </cacheField>
    <cacheField name="Profit" numFmtId="0">
      <sharedItems containsSemiMixedTypes="0" containsString="0" containsNumber="1" minValue="82.57" maxValue="672.38"/>
    </cacheField>
    <cacheField name="Total Purchase" numFmtId="0">
      <sharedItems containsSemiMixedTypes="0" containsString="0" containsNumber="1" minValue="654.95699999999999" maxValue="16815.114000000001"/>
    </cacheField>
    <cacheField name="TimeStamp" numFmtId="22">
      <sharedItems containsSemiMixedTypes="0" containsNonDate="0" containsDate="1" containsString="0" minDate="2026-10-06T16:08:23" maxDate="2026-10-06T16:08: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i" refreshedDate="46301.685050462962" createdVersion="8" refreshedVersion="8" minRefreshableVersion="3" recordCount="30" xr:uid="{0401D2A9-4832-46D0-B08D-E5C30228F869}">
  <cacheSource type="worksheet">
    <worksheetSource name="data"/>
  </cacheSource>
  <cacheFields count="14">
    <cacheField name="Customer_ID" numFmtId="0">
      <sharedItems count="3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</sharedItems>
    </cacheField>
    <cacheField name="Customer_Name" numFmtId="0">
      <sharedItems/>
    </cacheField>
    <cacheField name="Region" numFmtId="0">
      <sharedItems count="5">
        <s v="West"/>
        <s v="North"/>
        <s v="South"/>
        <s v="Central"/>
        <s v="East"/>
      </sharedItems>
    </cacheField>
    <cacheField name="Product_Category" numFmtId="0">
      <sharedItems count="5">
        <s v="Electronics"/>
        <s v="Books"/>
        <s v="Furniture"/>
        <s v="Clothing"/>
        <s v="Office Supplies"/>
      </sharedItems>
    </cacheField>
    <cacheField name="Sales" numFmtId="0">
      <sharedItems containsSemiMixedTypes="0" containsString="0" containsNumber="1" minValue="388.56" maxValue="1572.82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Months" numFmtId="9">
      <sharedItems/>
    </cacheField>
    <cacheField name="Order_Date" numFmtId="14">
      <sharedItems containsSemiMixedTypes="0" containsNonDate="0" containsDate="1" containsString="0" minDate="2024-04-10T00:00:00" maxDate="2024-09-23T00:00:00" count="24">
        <d v="2024-04-16T00:00:00"/>
        <d v="2024-06-23T00:00:00"/>
        <d v="2024-06-30T00:00:00"/>
        <d v="2024-08-18T00:00:00"/>
        <d v="2024-04-14T00:00:00"/>
        <d v="2024-04-30T00:00:00"/>
        <d v="2024-04-29T00:00:00"/>
        <d v="2024-04-19T00:00:00"/>
        <d v="2024-06-07T00:00:00"/>
        <d v="2024-04-11T00:00:00"/>
        <d v="2024-09-17T00:00:00"/>
        <d v="2024-04-20T00:00:00"/>
        <d v="2024-05-17T00:00:00"/>
        <d v="2024-05-23T00:00:00"/>
        <d v="2024-09-22T00:00:00"/>
        <d v="2024-04-10T00:00:00"/>
        <d v="2024-07-15T00:00:00"/>
        <d v="2024-05-04T00:00:00"/>
        <d v="2024-04-24T00:00:00"/>
        <d v="2024-08-05T00:00:00"/>
        <d v="2024-05-15T00:00:00"/>
        <d v="2024-05-14T00:00:00"/>
        <d v="2024-04-27T00:00:00"/>
        <d v="2024-04-15T00:00:00"/>
      </sharedItems>
      <fieldGroup par="13"/>
    </cacheField>
    <cacheField name="Profit" numFmtId="0">
      <sharedItems containsSemiMixedTypes="0" containsString="0" containsNumber="1" minValue="82.57" maxValue="672.38"/>
    </cacheField>
    <cacheField name="Total Purchase" numFmtId="0">
      <sharedItems containsSemiMixedTypes="0" containsString="0" containsNumber="1" minValue="654.95699999999999" maxValue="16815.114000000001"/>
    </cacheField>
    <cacheField name="TimeStamp" numFmtId="22">
      <sharedItems containsSemiMixedTypes="0" containsNonDate="0" containsDate="1" containsString="0" minDate="2026-10-06T16:25:23" maxDate="2026-10-06T16:25:23"/>
    </cacheField>
    <cacheField name="Days (Order_Date)" numFmtId="0" databaseField="0">
      <fieldGroup base="8">
        <rangePr groupBy="days" startDate="2024-04-10T00:00:00" endDate="2024-09-23T00:00:00"/>
        <groupItems count="368">
          <s v="&lt;10-04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9-2024"/>
        </groupItems>
      </fieldGroup>
    </cacheField>
    <cacheField name="Months (Order_Date)" numFmtId="0" databaseField="0">
      <fieldGroup base="8">
        <rangePr groupBy="months" startDate="2024-04-10T00:00:00" endDate="2024-09-23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UST001"/>
    <s v="Linda Wilson"/>
    <x v="0"/>
    <x v="0"/>
    <n v="1317.53"/>
    <n v="12"/>
    <n v="0.05"/>
    <s v="Apr"/>
    <d v="2024-04-16T00:00:00"/>
    <n v="312.91000000000003"/>
    <n v="15019.842000000001"/>
    <d v="2026-10-06T16:08:23"/>
  </r>
  <r>
    <s v="CUST002"/>
    <s v="Lisa Davis"/>
    <x v="0"/>
    <x v="1"/>
    <n v="942.9"/>
    <n v="18"/>
    <n v="0.1"/>
    <s v="Jun"/>
    <d v="2024-06-23T00:00:00"/>
    <n v="339.44"/>
    <n v="15274.980000000001"/>
    <d v="2026-10-06T16:08:23"/>
  </r>
  <r>
    <s v="CUST003"/>
    <s v="Emma Davis"/>
    <x v="1"/>
    <x v="1"/>
    <n v="1248.82"/>
    <n v="2"/>
    <n v="0.1"/>
    <s v="Jun"/>
    <d v="2024-06-30T00:00:00"/>
    <n v="449.58"/>
    <n v="2247.8759999999997"/>
    <d v="2026-10-06T16:08:23"/>
  </r>
  <r>
    <s v="CUST004"/>
    <s v="Lisa Thomas"/>
    <x v="1"/>
    <x v="2"/>
    <n v="518.07000000000005"/>
    <n v="7"/>
    <n v="0.05"/>
    <s v="Aug"/>
    <d v="2024-08-18T00:00:00"/>
    <n v="172.26"/>
    <n v="3445.1655000000001"/>
    <d v="2026-10-06T16:08:23"/>
  </r>
  <r>
    <s v="CUST005"/>
    <s v="Robert Anderson"/>
    <x v="2"/>
    <x v="0"/>
    <n v="760.93"/>
    <n v="4"/>
    <n v="0.15"/>
    <s v="Apr"/>
    <d v="2024-04-14T00:00:00"/>
    <n v="161.69999999999999"/>
    <n v="2587.1619999999998"/>
    <d v="2026-10-06T16:08:23"/>
  </r>
  <r>
    <s v="CUST006"/>
    <s v="Mary Jackson"/>
    <x v="0"/>
    <x v="1"/>
    <n v="1506.14"/>
    <n v="13"/>
    <n v="0.2"/>
    <s v="Apr"/>
    <d v="2024-04-30T00:00:00"/>
    <n v="481.96"/>
    <n v="15663.856"/>
    <d v="2026-10-06T16:08:23"/>
  </r>
  <r>
    <s v="CUST007"/>
    <s v="Michael Anderson"/>
    <x v="1"/>
    <x v="2"/>
    <n v="965.64"/>
    <n v="8"/>
    <n v="0.1"/>
    <s v="Apr"/>
    <d v="2024-04-16T00:00:00"/>
    <n v="304.18"/>
    <n v="6952.6080000000002"/>
    <d v="2026-10-06T16:08:23"/>
  </r>
  <r>
    <s v="CUST008"/>
    <s v="Robert Anderson"/>
    <x v="2"/>
    <x v="1"/>
    <n v="877.58"/>
    <n v="10"/>
    <n v="0.15"/>
    <s v="Apr"/>
    <d v="2024-04-29T00:00:00"/>
    <n v="298.38"/>
    <n v="7459.43"/>
    <d v="2026-10-06T16:08:23"/>
  </r>
  <r>
    <s v="CUST009"/>
    <s v="Linda Jackson"/>
    <x v="3"/>
    <x v="1"/>
    <n v="501.54"/>
    <n v="11"/>
    <n v="0.05"/>
    <s v="Apr"/>
    <d v="2024-04-19T00:00:00"/>
    <n v="190.59"/>
    <n v="5241.0929999999998"/>
    <d v="2026-10-06T16:08:23"/>
  </r>
  <r>
    <s v="CUST010"/>
    <s v="David Thomas"/>
    <x v="3"/>
    <x v="3"/>
    <n v="737.31"/>
    <n v="2"/>
    <n v="0.05"/>
    <s v="Apr"/>
    <d v="2024-04-19T00:00:00"/>
    <n v="350.22"/>
    <n v="1400.8889999999999"/>
    <d v="2026-10-06T16:08:23"/>
  </r>
  <r>
    <s v="CUST011"/>
    <s v="Mary Davis"/>
    <x v="1"/>
    <x v="4"/>
    <n v="1001.57"/>
    <n v="12"/>
    <n v="0"/>
    <s v="Jun"/>
    <d v="2024-06-07T00:00:00"/>
    <n v="450.71"/>
    <n v="12018.84"/>
    <d v="2026-10-06T16:08:23"/>
  </r>
  <r>
    <s v="CUST012"/>
    <s v="Robert Anderson"/>
    <x v="0"/>
    <x v="3"/>
    <n v="1101.28"/>
    <n v="3"/>
    <n v="0.2"/>
    <s v="Apr"/>
    <d v="2024-04-11T00:00:00"/>
    <n v="440.51"/>
    <n v="2643.0720000000001"/>
    <d v="2026-10-06T16:08:23"/>
  </r>
  <r>
    <s v="CUST013"/>
    <s v="Robert Anderson"/>
    <x v="2"/>
    <x v="2"/>
    <n v="727.73"/>
    <n v="1"/>
    <n v="0.1"/>
    <s v="Sep"/>
    <d v="2024-09-17T00:00:00"/>
    <n v="229.23"/>
    <n v="654.95699999999999"/>
    <d v="2026-10-06T16:08:23"/>
  </r>
  <r>
    <s v="CUST014"/>
    <s v="Emma Davis"/>
    <x v="0"/>
    <x v="4"/>
    <n v="1572.82"/>
    <n v="6"/>
    <n v="0.05"/>
    <s v="Apr"/>
    <d v="2024-04-20T00:00:00"/>
    <n v="672.38"/>
    <n v="8965.0740000000005"/>
    <d v="2026-10-06T16:08:23"/>
  </r>
  <r>
    <s v="CUST015"/>
    <s v="Linda Taylor"/>
    <x v="1"/>
    <x v="4"/>
    <n v="1200.9000000000001"/>
    <n v="14"/>
    <n v="0.05"/>
    <s v="May"/>
    <d v="2024-05-17T00:00:00"/>
    <n v="513.38"/>
    <n v="15971.970000000001"/>
    <d v="2026-10-06T16:08:23"/>
  </r>
  <r>
    <s v="CUST016"/>
    <s v="Emma Wilson"/>
    <x v="4"/>
    <x v="1"/>
    <n v="580.42999999999995"/>
    <n v="19"/>
    <n v="0.15"/>
    <s v="May"/>
    <d v="2024-05-23T00:00:00"/>
    <n v="197.35"/>
    <n v="9373.9444999999978"/>
    <d v="2026-10-06T16:08:23"/>
  </r>
  <r>
    <s v="CUST017"/>
    <s v="James Taylor"/>
    <x v="4"/>
    <x v="1"/>
    <n v="713.34"/>
    <n v="17"/>
    <n v="0"/>
    <s v="Apr"/>
    <d v="2024-04-14T00:00:00"/>
    <n v="285.33999999999997"/>
    <n v="12126.78"/>
    <d v="2026-10-06T16:08:23"/>
  </r>
  <r>
    <s v="CUST018"/>
    <s v="Mary Jackson"/>
    <x v="2"/>
    <x v="1"/>
    <n v="966.3"/>
    <n v="2"/>
    <n v="0.15"/>
    <s v="Sep"/>
    <d v="2024-09-22T00:00:00"/>
    <n v="328.54"/>
    <n v="1642.7099999999998"/>
    <d v="2026-10-06T16:08:23"/>
  </r>
  <r>
    <s v="CUST019"/>
    <s v="James Davis"/>
    <x v="0"/>
    <x v="1"/>
    <n v="1036.0899999999999"/>
    <n v="4"/>
    <n v="0.2"/>
    <s v="Apr"/>
    <d v="2024-04-10T00:00:00"/>
    <n v="331.55"/>
    <n v="3315.4879999999998"/>
    <d v="2026-10-06T16:08:23"/>
  </r>
  <r>
    <s v="CUST020"/>
    <s v="David Brown"/>
    <x v="0"/>
    <x v="2"/>
    <n v="1371.34"/>
    <n v="5"/>
    <n v="0.05"/>
    <s v="Jul"/>
    <d v="2024-07-15T00:00:00"/>
    <n v="455.97"/>
    <n v="6513.8649999999998"/>
    <d v="2026-10-06T16:08:23"/>
  </r>
  <r>
    <s v="CUST021"/>
    <s v="Sarah Anderson"/>
    <x v="2"/>
    <x v="0"/>
    <n v="967.89"/>
    <n v="10"/>
    <n v="0.1"/>
    <s v="May"/>
    <d v="2024-05-17T00:00:00"/>
    <n v="217.78"/>
    <n v="8711.01"/>
    <d v="2026-10-06T16:08:23"/>
  </r>
  <r>
    <s v="CUST022"/>
    <s v="Robert Anderson"/>
    <x v="1"/>
    <x v="0"/>
    <n v="388.56"/>
    <n v="14"/>
    <n v="0.15"/>
    <s v="May"/>
    <d v="2024-05-04T00:00:00"/>
    <n v="82.57"/>
    <n v="4623.8639999999996"/>
    <d v="2026-10-06T16:08:23"/>
  </r>
  <r>
    <s v="CUST023"/>
    <s v="Robert Anderson"/>
    <x v="0"/>
    <x v="2"/>
    <n v="822.28"/>
    <n v="7"/>
    <n v="0.05"/>
    <s v="Apr"/>
    <d v="2024-04-24T00:00:00"/>
    <n v="273.41000000000003"/>
    <n v="5468.1619999999994"/>
    <d v="2026-10-06T16:08:23"/>
  </r>
  <r>
    <s v="CUST024"/>
    <s v="David Brown"/>
    <x v="4"/>
    <x v="0"/>
    <n v="539.77"/>
    <n v="10"/>
    <n v="0.15"/>
    <s v="Aug"/>
    <d v="2024-08-05T00:00:00"/>
    <n v="114.7"/>
    <n v="4588.0450000000001"/>
    <d v="2026-10-06T16:08:23"/>
  </r>
  <r>
    <s v="CUST025"/>
    <s v="David Brown"/>
    <x v="1"/>
    <x v="0"/>
    <n v="1450.71"/>
    <n v="5"/>
    <n v="0.1"/>
    <s v="May"/>
    <d v="2024-05-15T00:00:00"/>
    <n v="326.41000000000003"/>
    <n v="6528.1950000000006"/>
    <d v="2026-10-06T16:08:23"/>
  </r>
  <r>
    <s v="CUST026"/>
    <s v="Mary Davis"/>
    <x v="4"/>
    <x v="2"/>
    <n v="1074.47"/>
    <n v="6"/>
    <n v="0.2"/>
    <s v="Apr"/>
    <d v="2024-04-19T00:00:00"/>
    <n v="300.85000000000002"/>
    <n v="5157.4560000000001"/>
    <d v="2026-10-06T16:08:23"/>
  </r>
  <r>
    <s v="CUST027"/>
    <s v="Emma Davis"/>
    <x v="4"/>
    <x v="4"/>
    <n v="875.41"/>
    <n v="13"/>
    <n v="0.15"/>
    <s v="Sep"/>
    <d v="2024-09-17T00:00:00"/>
    <n v="334.84"/>
    <n v="9673.2804999999989"/>
    <d v="2026-10-06T16:08:23"/>
  </r>
  <r>
    <s v="CUST028"/>
    <s v="Linda Taylor"/>
    <x v="4"/>
    <x v="4"/>
    <n v="983.34"/>
    <n v="19"/>
    <n v="0.1"/>
    <s v="May"/>
    <d v="2024-05-14T00:00:00"/>
    <n v="398.25"/>
    <n v="16815.114000000001"/>
    <d v="2026-10-06T16:08:23"/>
  </r>
  <r>
    <s v="CUST029"/>
    <s v="David Smith"/>
    <x v="1"/>
    <x v="2"/>
    <n v="521.66999999999996"/>
    <n v="15"/>
    <n v="0.15"/>
    <s v="Apr"/>
    <d v="2024-04-27T00:00:00"/>
    <n v="155.19999999999999"/>
    <n v="6651.2924999999996"/>
    <d v="2026-10-06T16:08:23"/>
  </r>
  <r>
    <s v="CUST030"/>
    <s v="James Wilson"/>
    <x v="1"/>
    <x v="1"/>
    <n v="847"/>
    <n v="12"/>
    <n v="0.2"/>
    <s v="Apr"/>
    <d v="2024-04-15T00:00:00"/>
    <n v="271.04000000000002"/>
    <n v="8131.2000000000007"/>
    <d v="2026-10-06T16:08: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Linda Wilson"/>
    <x v="0"/>
    <x v="0"/>
    <n v="1317.53"/>
    <n v="12"/>
    <n v="0.05"/>
    <s v="Apr"/>
    <x v="0"/>
    <n v="312.91000000000003"/>
    <n v="15019.842000000001"/>
    <d v="2026-10-06T16:25:23"/>
  </r>
  <r>
    <x v="1"/>
    <s v="Lisa Davis"/>
    <x v="0"/>
    <x v="1"/>
    <n v="942.9"/>
    <n v="18"/>
    <n v="0.1"/>
    <s v="Jun"/>
    <x v="1"/>
    <n v="339.44"/>
    <n v="15274.980000000001"/>
    <d v="2026-10-06T16:25:23"/>
  </r>
  <r>
    <x v="2"/>
    <s v="Emma Davis"/>
    <x v="1"/>
    <x v="1"/>
    <n v="1248.82"/>
    <n v="2"/>
    <n v="0.1"/>
    <s v="Jun"/>
    <x v="2"/>
    <n v="449.58"/>
    <n v="2247.8759999999997"/>
    <d v="2026-10-06T16:25:23"/>
  </r>
  <r>
    <x v="3"/>
    <s v="Lisa Thomas"/>
    <x v="1"/>
    <x v="2"/>
    <n v="518.07000000000005"/>
    <n v="7"/>
    <n v="0.05"/>
    <s v="Aug"/>
    <x v="3"/>
    <n v="172.26"/>
    <n v="3445.1655000000001"/>
    <d v="2026-10-06T16:25:23"/>
  </r>
  <r>
    <x v="4"/>
    <s v="Robert Anderson"/>
    <x v="2"/>
    <x v="0"/>
    <n v="760.93"/>
    <n v="4"/>
    <n v="0.15"/>
    <s v="Apr"/>
    <x v="4"/>
    <n v="161.69999999999999"/>
    <n v="2587.1619999999998"/>
    <d v="2026-10-06T16:25:23"/>
  </r>
  <r>
    <x v="5"/>
    <s v="Mary Jackson"/>
    <x v="0"/>
    <x v="1"/>
    <n v="1506.14"/>
    <n v="13"/>
    <n v="0.2"/>
    <s v="Apr"/>
    <x v="5"/>
    <n v="481.96"/>
    <n v="15663.856"/>
    <d v="2026-10-06T16:25:23"/>
  </r>
  <r>
    <x v="6"/>
    <s v="Michael Anderson"/>
    <x v="1"/>
    <x v="2"/>
    <n v="965.64"/>
    <n v="8"/>
    <n v="0.1"/>
    <s v="Apr"/>
    <x v="0"/>
    <n v="304.18"/>
    <n v="6952.6080000000002"/>
    <d v="2026-10-06T16:25:23"/>
  </r>
  <r>
    <x v="7"/>
    <s v="Robert Anderson"/>
    <x v="2"/>
    <x v="1"/>
    <n v="877.58"/>
    <n v="10"/>
    <n v="0.15"/>
    <s v="Apr"/>
    <x v="6"/>
    <n v="298.38"/>
    <n v="7459.43"/>
    <d v="2026-10-06T16:25:23"/>
  </r>
  <r>
    <x v="8"/>
    <s v="Linda Jackson"/>
    <x v="3"/>
    <x v="1"/>
    <n v="501.54"/>
    <n v="11"/>
    <n v="0.05"/>
    <s v="Apr"/>
    <x v="7"/>
    <n v="190.59"/>
    <n v="5241.0929999999998"/>
    <d v="2026-10-06T16:25:23"/>
  </r>
  <r>
    <x v="9"/>
    <s v="David Thomas"/>
    <x v="3"/>
    <x v="3"/>
    <n v="737.31"/>
    <n v="2"/>
    <n v="0.05"/>
    <s v="Apr"/>
    <x v="7"/>
    <n v="350.22"/>
    <n v="1400.8889999999999"/>
    <d v="2026-10-06T16:25:23"/>
  </r>
  <r>
    <x v="10"/>
    <s v="Mary Davis"/>
    <x v="1"/>
    <x v="4"/>
    <n v="1001.57"/>
    <n v="12"/>
    <n v="0"/>
    <s v="Jun"/>
    <x v="8"/>
    <n v="450.71"/>
    <n v="12018.84"/>
    <d v="2026-10-06T16:25:23"/>
  </r>
  <r>
    <x v="11"/>
    <s v="Robert Anderson"/>
    <x v="0"/>
    <x v="3"/>
    <n v="1101.28"/>
    <n v="3"/>
    <n v="0.2"/>
    <s v="Apr"/>
    <x v="9"/>
    <n v="440.51"/>
    <n v="2643.0720000000001"/>
    <d v="2026-10-06T16:25:23"/>
  </r>
  <r>
    <x v="12"/>
    <s v="Robert Anderson"/>
    <x v="2"/>
    <x v="2"/>
    <n v="727.73"/>
    <n v="1"/>
    <n v="0.1"/>
    <s v="Sep"/>
    <x v="10"/>
    <n v="229.23"/>
    <n v="654.95699999999999"/>
    <d v="2026-10-06T16:25:23"/>
  </r>
  <r>
    <x v="13"/>
    <s v="Emma Davis"/>
    <x v="0"/>
    <x v="4"/>
    <n v="1572.82"/>
    <n v="6"/>
    <n v="0.05"/>
    <s v="Apr"/>
    <x v="11"/>
    <n v="672.38"/>
    <n v="8965.0740000000005"/>
    <d v="2026-10-06T16:25:23"/>
  </r>
  <r>
    <x v="14"/>
    <s v="Linda Taylor"/>
    <x v="1"/>
    <x v="4"/>
    <n v="1200.9000000000001"/>
    <n v="14"/>
    <n v="0.05"/>
    <s v="May"/>
    <x v="12"/>
    <n v="513.38"/>
    <n v="15971.970000000001"/>
    <d v="2026-10-06T16:25:23"/>
  </r>
  <r>
    <x v="15"/>
    <s v="Emma Wilson"/>
    <x v="4"/>
    <x v="1"/>
    <n v="580.42999999999995"/>
    <n v="19"/>
    <n v="0.15"/>
    <s v="May"/>
    <x v="13"/>
    <n v="197.35"/>
    <n v="9373.9444999999978"/>
    <d v="2026-10-06T16:25:23"/>
  </r>
  <r>
    <x v="16"/>
    <s v="James Taylor"/>
    <x v="4"/>
    <x v="1"/>
    <n v="713.34"/>
    <n v="17"/>
    <n v="0"/>
    <s v="Apr"/>
    <x v="4"/>
    <n v="285.33999999999997"/>
    <n v="12126.78"/>
    <d v="2026-10-06T16:25:23"/>
  </r>
  <r>
    <x v="17"/>
    <s v="Mary Jackson"/>
    <x v="2"/>
    <x v="1"/>
    <n v="966.3"/>
    <n v="2"/>
    <n v="0.15"/>
    <s v="Sep"/>
    <x v="14"/>
    <n v="328.54"/>
    <n v="1642.7099999999998"/>
    <d v="2026-10-06T16:25:23"/>
  </r>
  <r>
    <x v="18"/>
    <s v="James Davis"/>
    <x v="0"/>
    <x v="1"/>
    <n v="1036.0899999999999"/>
    <n v="4"/>
    <n v="0.2"/>
    <s v="Apr"/>
    <x v="15"/>
    <n v="331.55"/>
    <n v="3315.4879999999998"/>
    <d v="2026-10-06T16:25:23"/>
  </r>
  <r>
    <x v="19"/>
    <s v="David Brown"/>
    <x v="0"/>
    <x v="2"/>
    <n v="1371.34"/>
    <n v="5"/>
    <n v="0.05"/>
    <s v="Jul"/>
    <x v="16"/>
    <n v="455.97"/>
    <n v="6513.8649999999998"/>
    <d v="2026-10-06T16:25:23"/>
  </r>
  <r>
    <x v="20"/>
    <s v="Sarah Anderson"/>
    <x v="2"/>
    <x v="0"/>
    <n v="967.89"/>
    <n v="10"/>
    <n v="0.1"/>
    <s v="May"/>
    <x v="12"/>
    <n v="217.78"/>
    <n v="8711.01"/>
    <d v="2026-10-06T16:25:23"/>
  </r>
  <r>
    <x v="21"/>
    <s v="Robert Anderson"/>
    <x v="1"/>
    <x v="0"/>
    <n v="388.56"/>
    <n v="14"/>
    <n v="0.15"/>
    <s v="May"/>
    <x v="17"/>
    <n v="82.57"/>
    <n v="4623.8639999999996"/>
    <d v="2026-10-06T16:25:23"/>
  </r>
  <r>
    <x v="22"/>
    <s v="Robert Anderson"/>
    <x v="0"/>
    <x v="2"/>
    <n v="822.28"/>
    <n v="7"/>
    <n v="0.05"/>
    <s v="Apr"/>
    <x v="18"/>
    <n v="273.41000000000003"/>
    <n v="5468.1619999999994"/>
    <d v="2026-10-06T16:25:23"/>
  </r>
  <r>
    <x v="23"/>
    <s v="David Brown"/>
    <x v="4"/>
    <x v="0"/>
    <n v="539.77"/>
    <n v="10"/>
    <n v="0.15"/>
    <s v="Aug"/>
    <x v="19"/>
    <n v="114.7"/>
    <n v="4588.0450000000001"/>
    <d v="2026-10-06T16:25:23"/>
  </r>
  <r>
    <x v="24"/>
    <s v="David Brown"/>
    <x v="1"/>
    <x v="0"/>
    <n v="1450.71"/>
    <n v="5"/>
    <n v="0.1"/>
    <s v="May"/>
    <x v="20"/>
    <n v="326.41000000000003"/>
    <n v="6528.1950000000006"/>
    <d v="2026-10-06T16:25:23"/>
  </r>
  <r>
    <x v="25"/>
    <s v="Mary Davis"/>
    <x v="4"/>
    <x v="2"/>
    <n v="1074.47"/>
    <n v="6"/>
    <n v="0.2"/>
    <s v="Apr"/>
    <x v="7"/>
    <n v="300.85000000000002"/>
    <n v="5157.4560000000001"/>
    <d v="2026-10-06T16:25:23"/>
  </r>
  <r>
    <x v="26"/>
    <s v="Emma Davis"/>
    <x v="4"/>
    <x v="4"/>
    <n v="875.41"/>
    <n v="13"/>
    <n v="0.15"/>
    <s v="Sep"/>
    <x v="10"/>
    <n v="334.84"/>
    <n v="9673.2804999999989"/>
    <d v="2026-10-06T16:25:23"/>
  </r>
  <r>
    <x v="27"/>
    <s v="Linda Taylor"/>
    <x v="4"/>
    <x v="4"/>
    <n v="983.34"/>
    <n v="19"/>
    <n v="0.1"/>
    <s v="May"/>
    <x v="21"/>
    <n v="398.25"/>
    <n v="16815.114000000001"/>
    <d v="2026-10-06T16:25:23"/>
  </r>
  <r>
    <x v="28"/>
    <s v="David Smith"/>
    <x v="1"/>
    <x v="2"/>
    <n v="521.66999999999996"/>
    <n v="15"/>
    <n v="0.15"/>
    <s v="Apr"/>
    <x v="22"/>
    <n v="155.19999999999999"/>
    <n v="6651.2924999999996"/>
    <d v="2026-10-06T16:25:23"/>
  </r>
  <r>
    <x v="29"/>
    <s v="James Wilson"/>
    <x v="1"/>
    <x v="1"/>
    <n v="847"/>
    <n v="12"/>
    <n v="0.2"/>
    <s v="Apr"/>
    <x v="23"/>
    <n v="271.04000000000002"/>
    <n v="8131.2000000000007"/>
    <d v="2026-10-06T16:25: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FC4B6-CD98-476B-960A-6AAAC1262A5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32:F138" firstHeaderRow="1" firstDataRow="2" firstDataCol="1"/>
  <pivotFields count="12">
    <pivotField compact="0" outline="0" showAll="0"/>
    <pivotField compact="0" outline="0" showAll="0"/>
    <pivotField axis="axisRow" compact="0" outline="0" showAll="0">
      <items count="6">
        <item x="3"/>
        <item x="4"/>
        <item x="1"/>
        <item x="2"/>
        <item x="0"/>
        <item t="default"/>
      </items>
    </pivotField>
    <pivotField name="Product" axis="axisCol" compact="0" outline="0" showAll="0">
      <items count="6"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numFmtId="22" outline="0" showAl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 Total Sales" fld="10" baseField="0" baseItem="0"/>
  </dataFields>
  <formats count="12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2" count="0"/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2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2" count="0"/>
        </references>
      </pivotArea>
    </format>
    <format dxfId="31">
      <pivotArea dataOnly="0" labelOnly="1" outline="0" fieldPosition="0">
        <references count="1">
          <reference field="2" count="0"/>
        </references>
      </pivotArea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2" type="button" dataOnly="0" labelOnly="1" outline="0" axis="axisRow" fieldPosition="0"/>
    </format>
    <format dxfId="26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F280B-D99C-4F83-9FB7-4A2E4EE1AC65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1:D12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showAll="0"/>
    <pivotField dataField="1"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sales" fld="10" subtotal="average" baseField="0" baseItem="0" numFmtId="2"/>
  </dataFields>
  <formats count="3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110C8-777A-4FD6-B483-F6AEE4A66D57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1:A12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dataField="1" showAll="0"/>
    <pivotField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Profit" fld="9" subtotal="average" baseField="0" baseItem="0" numFmtId="2"/>
  </dataFields>
  <formats count="3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C64D9-693D-4B41-983A-51099A124B56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J5:K10" firstHeaderRow="1" firstDataRow="1" firstDataCol="1"/>
  <pivotFields count="14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dataField="1"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showAll="0"/>
    <pivotField showAll="0"/>
    <pivotField numFmtId="2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Discount" fld="6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5AC74-70DE-41D7-B8ED-2139E23F7FFB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F17:H23" firstHeaderRow="0" firstDataRow="1" firstDataCol="1"/>
  <pivotFields count="14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>
      <items count="6">
        <item x="3"/>
        <item x="4"/>
        <item x="1"/>
        <item x="2"/>
        <item x="0"/>
        <item t="default"/>
      </items>
    </pivotField>
    <pivotField showAll="0"/>
    <pivotField dataField="1"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dataField="1" showAll="0"/>
    <pivotField showAll="0"/>
    <pivotField numFmtId="2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6"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ProfitRat" fld="9" baseField="13" baseItem="4"/>
    <dataField name="SalesRat" fld="4" baseField="13" baseItem="4"/>
  </dataFields>
  <formats count="3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3" count="6">
            <x v="4"/>
            <x v="5"/>
            <x v="6"/>
            <x v="7"/>
            <x v="8"/>
            <x v="9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AE603-7CD9-43E0-AC38-283A43AA9785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6:G7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dataField="1" showAll="0"/>
    <pivotField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ProfitTotal" fld="9" baseField="0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75146-4D47-4F26-8BA9-D352E8625847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7:C22" firstHeaderRow="0" firstDataRow="1" firstDataCol="1"/>
  <pivotFields count="14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dataField="1"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dataField="1" showAll="0"/>
    <pivotField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alesData" fld="4" baseField="2" baseItem="0"/>
    <dataField name="ProfitData" fld="9" baseField="2" baseItem="0"/>
  </dataFields>
  <formats count="3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2" count="0"/>
        </references>
      </pivotArea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2D03A-9703-4230-BDA7-8EC413D17169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6:D7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showAll="0"/>
    <pivotField dataField="1"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purchaseTotal" fld="10" baseField="0" baseItem="0" numFmtId="2"/>
  </dataFields>
  <formats count="3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5BF82-4296-40DC-9BA8-9B175F4D3CEC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6:A7" firstHeaderRow="1" firstDataRow="1" firstDataCol="0"/>
  <pivotFields count="14"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showAll="0"/>
    <pivotField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ustomer" fld="0" subtotal="count" baseField="0" baseItem="0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4E3D2-A44E-408E-9940-CB44E8AA7D25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1:F12" firstHeaderRow="1" firstDataRow="1" firstDataCol="0"/>
  <pivotFields count="14">
    <pivotField showAll="0"/>
    <pivotField showAll="0"/>
    <pivotField showAll="0"/>
    <pivotField showAll="0"/>
    <pivotField dataField="1" showAll="0"/>
    <pivotField showAll="0"/>
    <pivotField numFmtId="9" showAll="0"/>
    <pivotField showAll="0"/>
    <pivotField numFmtId="14" showAll="0">
      <items count="25">
        <item x="15"/>
        <item x="9"/>
        <item x="4"/>
        <item x="23"/>
        <item x="0"/>
        <item x="7"/>
        <item x="11"/>
        <item x="18"/>
        <item x="22"/>
        <item x="6"/>
        <item x="5"/>
        <item x="17"/>
        <item x="21"/>
        <item x="20"/>
        <item x="12"/>
        <item x="13"/>
        <item x="8"/>
        <item x="1"/>
        <item x="2"/>
        <item x="16"/>
        <item x="19"/>
        <item x="3"/>
        <item x="10"/>
        <item x="14"/>
        <item t="default"/>
      </items>
    </pivotField>
    <pivotField showAll="0"/>
    <pivotField showAll="0"/>
    <pivotField numFmtId="2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Total sales" fld="4" baseField="0" baseItem="0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E0D4-55B8-46A0-B155-B55F87C84D1F}">
  <dimension ref="A1:I201"/>
  <sheetViews>
    <sheetView workbookViewId="0">
      <selection activeCell="L13" sqref="L13"/>
    </sheetView>
  </sheetViews>
  <sheetFormatPr defaultRowHeight="15" x14ac:dyDescent="0.25"/>
  <cols>
    <col min="1" max="2" width="17.42578125" customWidth="1"/>
    <col min="3" max="3" width="12.5703125" customWidth="1"/>
    <col min="4" max="4" width="22.85546875" customWidth="1"/>
    <col min="5" max="5" width="13.85546875" customWidth="1"/>
    <col min="6" max="6" width="13.7109375" customWidth="1"/>
    <col min="7" max="7" width="10.5703125" customWidth="1"/>
    <col min="8" max="8" width="19.140625" customWidth="1"/>
    <col min="9" max="9" width="13.5703125" customWidth="1"/>
    <col min="10" max="10" width="9.140625" customWidth="1"/>
  </cols>
  <sheetData>
    <row r="1" spans="1: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25">
      <c r="A2" s="8" t="s">
        <v>9</v>
      </c>
      <c r="B2" s="8" t="s">
        <v>10</v>
      </c>
      <c r="C2" s="8" t="s">
        <v>11</v>
      </c>
      <c r="D2" s="8" t="s">
        <v>12</v>
      </c>
      <c r="E2" s="8">
        <v>1036.0899999999999</v>
      </c>
      <c r="F2" s="8">
        <v>4</v>
      </c>
      <c r="G2" s="8">
        <v>0.2</v>
      </c>
      <c r="H2" s="9">
        <v>45392</v>
      </c>
      <c r="I2" s="8">
        <v>331.55</v>
      </c>
    </row>
    <row r="3" spans="1:9" x14ac:dyDescent="0.25">
      <c r="A3" s="8" t="s">
        <v>13</v>
      </c>
      <c r="B3" s="8" t="s">
        <v>14</v>
      </c>
      <c r="C3" s="8" t="s">
        <v>11</v>
      </c>
      <c r="D3" s="8" t="s">
        <v>15</v>
      </c>
      <c r="E3" s="8">
        <v>1101.28</v>
      </c>
      <c r="F3" s="8">
        <v>3</v>
      </c>
      <c r="G3" s="8">
        <v>0.2</v>
      </c>
      <c r="H3" s="9">
        <v>45393</v>
      </c>
      <c r="I3" s="8">
        <v>440.51</v>
      </c>
    </row>
    <row r="4" spans="1:9" x14ac:dyDescent="0.25">
      <c r="A4" s="8" t="s">
        <v>16</v>
      </c>
      <c r="B4" s="8" t="s">
        <v>17</v>
      </c>
      <c r="C4" s="8" t="s">
        <v>18</v>
      </c>
      <c r="D4" s="8" t="s">
        <v>12</v>
      </c>
      <c r="E4" s="8">
        <v>713.34</v>
      </c>
      <c r="F4" s="8">
        <v>17</v>
      </c>
      <c r="G4" s="8">
        <v>0</v>
      </c>
      <c r="H4" s="9">
        <v>45396</v>
      </c>
      <c r="I4" s="8">
        <v>285.33999999999997</v>
      </c>
    </row>
    <row r="5" spans="1:9" x14ac:dyDescent="0.25">
      <c r="A5" s="8" t="s">
        <v>19</v>
      </c>
      <c r="B5" s="8" t="s">
        <v>14</v>
      </c>
      <c r="C5" s="8" t="s">
        <v>20</v>
      </c>
      <c r="D5" s="8" t="s">
        <v>21</v>
      </c>
      <c r="E5" s="8">
        <v>760.93</v>
      </c>
      <c r="F5" s="8">
        <v>4</v>
      </c>
      <c r="G5" s="8">
        <v>0.15</v>
      </c>
      <c r="H5" s="9">
        <v>45396</v>
      </c>
      <c r="I5" s="8">
        <v>161.69999999999999</v>
      </c>
    </row>
    <row r="6" spans="1:9" x14ac:dyDescent="0.25">
      <c r="A6" s="8" t="s">
        <v>22</v>
      </c>
      <c r="B6" s="8" t="s">
        <v>23</v>
      </c>
      <c r="C6" s="8" t="s">
        <v>24</v>
      </c>
      <c r="D6" s="8" t="s">
        <v>12</v>
      </c>
      <c r="E6" s="8">
        <v>847</v>
      </c>
      <c r="F6" s="8">
        <v>12</v>
      </c>
      <c r="G6" s="8">
        <v>0.2</v>
      </c>
      <c r="H6" s="9">
        <v>45397</v>
      </c>
      <c r="I6" s="8">
        <v>271.04000000000002</v>
      </c>
    </row>
    <row r="7" spans="1:9" x14ac:dyDescent="0.25">
      <c r="A7" s="8" t="s">
        <v>25</v>
      </c>
      <c r="B7" s="8" t="s">
        <v>26</v>
      </c>
      <c r="C7" s="8" t="s">
        <v>24</v>
      </c>
      <c r="D7" s="8" t="s">
        <v>27</v>
      </c>
      <c r="E7" s="8">
        <v>965.64</v>
      </c>
      <c r="F7" s="8">
        <v>8</v>
      </c>
      <c r="G7" s="8">
        <v>0.1</v>
      </c>
      <c r="H7" s="9">
        <v>45398</v>
      </c>
      <c r="I7" s="8">
        <v>304.18</v>
      </c>
    </row>
    <row r="8" spans="1:9" x14ac:dyDescent="0.25">
      <c r="A8" s="8" t="s">
        <v>28</v>
      </c>
      <c r="B8" s="8" t="s">
        <v>29</v>
      </c>
      <c r="C8" s="8" t="s">
        <v>11</v>
      </c>
      <c r="D8" s="8" t="s">
        <v>21</v>
      </c>
      <c r="E8" s="8">
        <v>1317.53</v>
      </c>
      <c r="F8" s="8">
        <v>12</v>
      </c>
      <c r="G8" s="8">
        <v>0.05</v>
      </c>
      <c r="H8" s="9">
        <v>45398</v>
      </c>
      <c r="I8" s="8">
        <v>312.91000000000003</v>
      </c>
    </row>
    <row r="9" spans="1:9" x14ac:dyDescent="0.25">
      <c r="A9" s="8" t="s">
        <v>30</v>
      </c>
      <c r="B9" s="8" t="s">
        <v>31</v>
      </c>
      <c r="C9" s="8" t="s">
        <v>18</v>
      </c>
      <c r="D9" s="8" t="s">
        <v>27</v>
      </c>
      <c r="E9" s="8">
        <v>1074.47</v>
      </c>
      <c r="F9" s="8">
        <v>6</v>
      </c>
      <c r="G9" s="8">
        <v>0.2</v>
      </c>
      <c r="H9" s="9">
        <v>45401</v>
      </c>
      <c r="I9" s="8">
        <v>300.85000000000002</v>
      </c>
    </row>
    <row r="10" spans="1:9" x14ac:dyDescent="0.25">
      <c r="A10" s="8" t="s">
        <v>32</v>
      </c>
      <c r="B10" s="8" t="s">
        <v>33</v>
      </c>
      <c r="C10" s="8" t="s">
        <v>34</v>
      </c>
      <c r="D10" s="8" t="s">
        <v>12</v>
      </c>
      <c r="E10" s="8">
        <v>501.54</v>
      </c>
      <c r="F10" s="8">
        <v>11</v>
      </c>
      <c r="G10" s="8">
        <v>0.05</v>
      </c>
      <c r="H10" s="9">
        <v>45401</v>
      </c>
      <c r="I10" s="8">
        <v>190.59</v>
      </c>
    </row>
    <row r="11" spans="1:9" x14ac:dyDescent="0.25">
      <c r="A11" s="8" t="s">
        <v>35</v>
      </c>
      <c r="B11" s="8" t="s">
        <v>36</v>
      </c>
      <c r="C11" s="8" t="s">
        <v>34</v>
      </c>
      <c r="D11" s="8" t="s">
        <v>15</v>
      </c>
      <c r="E11" s="8">
        <v>737.31</v>
      </c>
      <c r="F11" s="8">
        <v>2</v>
      </c>
      <c r="G11" s="8">
        <v>0.05</v>
      </c>
      <c r="H11" s="9">
        <v>45401</v>
      </c>
      <c r="I11" s="8">
        <v>350.22</v>
      </c>
    </row>
    <row r="12" spans="1:9" x14ac:dyDescent="0.25">
      <c r="A12" s="8" t="s">
        <v>37</v>
      </c>
      <c r="B12" s="8" t="s">
        <v>38</v>
      </c>
      <c r="C12" s="8" t="s">
        <v>11</v>
      </c>
      <c r="D12" s="8" t="s">
        <v>39</v>
      </c>
      <c r="E12" s="8">
        <v>1572.82</v>
      </c>
      <c r="F12" s="8">
        <v>6</v>
      </c>
      <c r="G12" s="8">
        <v>0.05</v>
      </c>
      <c r="H12" s="9">
        <v>45402</v>
      </c>
      <c r="I12" s="8">
        <v>672.38</v>
      </c>
    </row>
    <row r="13" spans="1:9" x14ac:dyDescent="0.25">
      <c r="A13" s="8" t="s">
        <v>37</v>
      </c>
      <c r="B13" s="8" t="s">
        <v>36</v>
      </c>
      <c r="C13" s="8" t="s">
        <v>34</v>
      </c>
      <c r="D13" s="8" t="s">
        <v>12</v>
      </c>
      <c r="E13" s="8">
        <v>1343.13</v>
      </c>
      <c r="F13" s="8">
        <v>14</v>
      </c>
      <c r="G13" s="8">
        <v>0.15</v>
      </c>
      <c r="H13" s="9">
        <v>45404</v>
      </c>
      <c r="I13" s="8">
        <v>456.66</v>
      </c>
    </row>
    <row r="14" spans="1:9" x14ac:dyDescent="0.25">
      <c r="A14" s="8" t="s">
        <v>25</v>
      </c>
      <c r="B14" s="8" t="s">
        <v>26</v>
      </c>
      <c r="C14" s="8" t="s">
        <v>34</v>
      </c>
      <c r="D14" s="8" t="s">
        <v>12</v>
      </c>
      <c r="E14" s="8">
        <v>1191.58</v>
      </c>
      <c r="F14" s="8">
        <v>14</v>
      </c>
      <c r="G14" s="8">
        <v>0.05</v>
      </c>
      <c r="H14" s="9">
        <v>45406</v>
      </c>
      <c r="I14" s="8">
        <v>452.8</v>
      </c>
    </row>
    <row r="15" spans="1:9" x14ac:dyDescent="0.25">
      <c r="A15" s="8" t="s">
        <v>40</v>
      </c>
      <c r="B15" s="8" t="s">
        <v>14</v>
      </c>
      <c r="C15" s="8" t="s">
        <v>11</v>
      </c>
      <c r="D15" s="8" t="s">
        <v>27</v>
      </c>
      <c r="E15" s="8">
        <v>822.28</v>
      </c>
      <c r="F15" s="8">
        <v>7</v>
      </c>
      <c r="G15" s="8">
        <v>0.05</v>
      </c>
      <c r="H15" s="9">
        <v>45406</v>
      </c>
      <c r="I15" s="8">
        <v>273.41000000000003</v>
      </c>
    </row>
    <row r="16" spans="1:9" x14ac:dyDescent="0.25">
      <c r="A16" s="8" t="s">
        <v>41</v>
      </c>
      <c r="B16" s="8" t="s">
        <v>42</v>
      </c>
      <c r="C16" s="8" t="s">
        <v>24</v>
      </c>
      <c r="D16" s="8" t="s">
        <v>27</v>
      </c>
      <c r="E16" s="8">
        <v>521.66999999999996</v>
      </c>
      <c r="F16" s="8">
        <v>15</v>
      </c>
      <c r="G16" s="8">
        <v>0.15</v>
      </c>
      <c r="H16" s="9">
        <v>45409</v>
      </c>
      <c r="I16" s="8">
        <v>155.19999999999999</v>
      </c>
    </row>
    <row r="17" spans="1:9" x14ac:dyDescent="0.25">
      <c r="A17" s="8" t="s">
        <v>19</v>
      </c>
      <c r="B17" s="8" t="s">
        <v>43</v>
      </c>
      <c r="C17" s="8" t="s">
        <v>20</v>
      </c>
      <c r="D17" s="8" t="s">
        <v>21</v>
      </c>
      <c r="E17" s="8">
        <v>1502.93</v>
      </c>
      <c r="F17" s="8">
        <v>14</v>
      </c>
      <c r="G17" s="8">
        <v>0.2</v>
      </c>
      <c r="H17" s="9">
        <v>45410</v>
      </c>
      <c r="I17" s="8">
        <v>300.58999999999997</v>
      </c>
    </row>
    <row r="18" spans="1:9" x14ac:dyDescent="0.25">
      <c r="A18" s="8" t="s">
        <v>44</v>
      </c>
      <c r="B18" s="8" t="s">
        <v>14</v>
      </c>
      <c r="C18" s="8" t="s">
        <v>20</v>
      </c>
      <c r="D18" s="8" t="s">
        <v>12</v>
      </c>
      <c r="E18" s="8">
        <v>877.58</v>
      </c>
      <c r="F18" s="8">
        <v>10</v>
      </c>
      <c r="G18" s="8">
        <v>0.15</v>
      </c>
      <c r="H18" s="9">
        <v>45411</v>
      </c>
      <c r="I18" s="8">
        <v>298.38</v>
      </c>
    </row>
    <row r="19" spans="1:9" x14ac:dyDescent="0.25">
      <c r="A19" s="8" t="s">
        <v>28</v>
      </c>
      <c r="B19" s="8" t="s">
        <v>45</v>
      </c>
      <c r="C19" s="8" t="s">
        <v>11</v>
      </c>
      <c r="D19" s="8" t="s">
        <v>12</v>
      </c>
      <c r="E19" s="8">
        <v>636.70000000000005</v>
      </c>
      <c r="F19" s="8">
        <v>4</v>
      </c>
      <c r="G19" s="8">
        <v>0.2</v>
      </c>
      <c r="H19" s="9">
        <v>45411</v>
      </c>
      <c r="I19" s="8">
        <v>203.74</v>
      </c>
    </row>
    <row r="20" spans="1:9" x14ac:dyDescent="0.25">
      <c r="A20" s="8" t="s">
        <v>46</v>
      </c>
      <c r="B20" s="8" t="s">
        <v>47</v>
      </c>
      <c r="C20" s="8" t="s">
        <v>11</v>
      </c>
      <c r="D20" s="8" t="s">
        <v>12</v>
      </c>
      <c r="E20" s="8">
        <v>1506.14</v>
      </c>
      <c r="F20" s="8">
        <v>13</v>
      </c>
      <c r="G20" s="8">
        <v>0.2</v>
      </c>
      <c r="H20" s="9">
        <v>45412</v>
      </c>
      <c r="I20" s="8">
        <v>481.96</v>
      </c>
    </row>
    <row r="21" spans="1:9" x14ac:dyDescent="0.25">
      <c r="A21" s="8" t="s">
        <v>30</v>
      </c>
      <c r="B21" s="8" t="s">
        <v>31</v>
      </c>
      <c r="C21" s="8" t="s">
        <v>34</v>
      </c>
      <c r="D21" s="8" t="s">
        <v>21</v>
      </c>
      <c r="E21" s="8">
        <v>645.02</v>
      </c>
      <c r="F21" s="8">
        <v>4</v>
      </c>
      <c r="G21" s="8">
        <v>0</v>
      </c>
      <c r="H21" s="9">
        <v>45414</v>
      </c>
      <c r="I21" s="8">
        <v>161.26</v>
      </c>
    </row>
    <row r="22" spans="1:9" x14ac:dyDescent="0.25">
      <c r="A22" s="8" t="s">
        <v>25</v>
      </c>
      <c r="B22" s="8" t="s">
        <v>48</v>
      </c>
      <c r="C22" s="8" t="s">
        <v>20</v>
      </c>
      <c r="D22" s="8" t="s">
        <v>15</v>
      </c>
      <c r="E22" s="8">
        <v>953.3</v>
      </c>
      <c r="F22" s="8">
        <v>11</v>
      </c>
      <c r="G22" s="8">
        <v>0</v>
      </c>
      <c r="H22" s="9">
        <v>45415</v>
      </c>
      <c r="I22" s="8">
        <v>476.65</v>
      </c>
    </row>
    <row r="23" spans="1:9" x14ac:dyDescent="0.25">
      <c r="A23" s="8" t="s">
        <v>49</v>
      </c>
      <c r="B23" s="8" t="s">
        <v>14</v>
      </c>
      <c r="C23" s="8" t="s">
        <v>24</v>
      </c>
      <c r="D23" s="8" t="s">
        <v>21</v>
      </c>
      <c r="E23" s="8">
        <v>388.56</v>
      </c>
      <c r="F23" s="8">
        <v>14</v>
      </c>
      <c r="G23" s="8">
        <v>0.15</v>
      </c>
      <c r="H23" s="9">
        <v>45416</v>
      </c>
      <c r="I23" s="8">
        <v>82.57</v>
      </c>
    </row>
    <row r="24" spans="1:9" x14ac:dyDescent="0.25">
      <c r="A24" s="8" t="s">
        <v>9</v>
      </c>
      <c r="B24" s="8" t="s">
        <v>31</v>
      </c>
      <c r="C24" s="8" t="s">
        <v>11</v>
      </c>
      <c r="D24" s="8" t="s">
        <v>12</v>
      </c>
      <c r="E24" s="8">
        <v>743.17</v>
      </c>
      <c r="F24" s="8">
        <v>9</v>
      </c>
      <c r="G24" s="8">
        <v>0</v>
      </c>
      <c r="H24" s="9">
        <v>45416</v>
      </c>
      <c r="I24" s="8">
        <v>297.27</v>
      </c>
    </row>
    <row r="25" spans="1:9" x14ac:dyDescent="0.25">
      <c r="A25" s="8" t="s">
        <v>40</v>
      </c>
      <c r="B25" s="8" t="s">
        <v>31</v>
      </c>
      <c r="C25" s="8" t="s">
        <v>34</v>
      </c>
      <c r="D25" s="8" t="s">
        <v>21</v>
      </c>
      <c r="E25" s="8">
        <v>706.37</v>
      </c>
      <c r="F25" s="8">
        <v>6</v>
      </c>
      <c r="G25" s="8">
        <v>0</v>
      </c>
      <c r="H25" s="9">
        <v>45416</v>
      </c>
      <c r="I25" s="8">
        <v>176.59</v>
      </c>
    </row>
    <row r="26" spans="1:9" x14ac:dyDescent="0.25">
      <c r="A26" s="8" t="s">
        <v>13</v>
      </c>
      <c r="B26" s="8" t="s">
        <v>31</v>
      </c>
      <c r="C26" s="8" t="s">
        <v>34</v>
      </c>
      <c r="D26" s="8" t="s">
        <v>39</v>
      </c>
      <c r="E26" s="8">
        <v>925.31</v>
      </c>
      <c r="F26" s="8">
        <v>8</v>
      </c>
      <c r="G26" s="8">
        <v>0.1</v>
      </c>
      <c r="H26" s="9">
        <v>45418</v>
      </c>
      <c r="I26" s="8">
        <v>374.75</v>
      </c>
    </row>
    <row r="27" spans="1:9" x14ac:dyDescent="0.25">
      <c r="A27" s="8" t="s">
        <v>35</v>
      </c>
      <c r="B27" s="8" t="s">
        <v>50</v>
      </c>
      <c r="C27" s="8" t="s">
        <v>20</v>
      </c>
      <c r="D27" s="8" t="s">
        <v>21</v>
      </c>
      <c r="E27" s="8">
        <v>1173.1199999999999</v>
      </c>
      <c r="F27" s="8">
        <v>18</v>
      </c>
      <c r="G27" s="8">
        <v>0</v>
      </c>
      <c r="H27" s="9">
        <v>45418</v>
      </c>
      <c r="I27" s="8">
        <v>293.27999999999997</v>
      </c>
    </row>
    <row r="28" spans="1:9" x14ac:dyDescent="0.25">
      <c r="A28" s="8" t="s">
        <v>22</v>
      </c>
      <c r="B28" s="8" t="s">
        <v>51</v>
      </c>
      <c r="C28" s="8" t="s">
        <v>24</v>
      </c>
      <c r="D28" s="8" t="s">
        <v>27</v>
      </c>
      <c r="E28" s="8">
        <v>675.54</v>
      </c>
      <c r="F28" s="8">
        <v>17</v>
      </c>
      <c r="G28" s="8">
        <v>0</v>
      </c>
      <c r="H28" s="9">
        <v>45420</v>
      </c>
      <c r="I28" s="8">
        <v>236.44</v>
      </c>
    </row>
    <row r="29" spans="1:9" x14ac:dyDescent="0.25">
      <c r="A29" s="8" t="s">
        <v>25</v>
      </c>
      <c r="B29" s="8" t="s">
        <v>14</v>
      </c>
      <c r="C29" s="8" t="s">
        <v>34</v>
      </c>
      <c r="D29" s="8" t="s">
        <v>12</v>
      </c>
      <c r="E29" s="8">
        <v>939.09</v>
      </c>
      <c r="F29" s="8">
        <v>2</v>
      </c>
      <c r="G29" s="8">
        <v>0.05</v>
      </c>
      <c r="H29" s="9">
        <v>45422</v>
      </c>
      <c r="I29" s="8">
        <v>356.85</v>
      </c>
    </row>
    <row r="30" spans="1:9" x14ac:dyDescent="0.25">
      <c r="A30" s="8" t="s">
        <v>52</v>
      </c>
      <c r="B30" s="8" t="s">
        <v>53</v>
      </c>
      <c r="C30" s="8" t="s">
        <v>18</v>
      </c>
      <c r="D30" s="8" t="s">
        <v>39</v>
      </c>
      <c r="E30" s="8">
        <v>983.34</v>
      </c>
      <c r="F30" s="8">
        <v>19</v>
      </c>
      <c r="G30" s="8">
        <v>0.1</v>
      </c>
      <c r="H30" s="9">
        <v>45426</v>
      </c>
      <c r="I30" s="8">
        <v>398.25</v>
      </c>
    </row>
    <row r="31" spans="1:9" x14ac:dyDescent="0.25">
      <c r="A31" s="8" t="s">
        <v>52</v>
      </c>
      <c r="B31" s="8" t="s">
        <v>23</v>
      </c>
      <c r="C31" s="8" t="s">
        <v>20</v>
      </c>
      <c r="D31" s="8" t="s">
        <v>21</v>
      </c>
      <c r="E31" s="8">
        <v>801.21</v>
      </c>
      <c r="F31" s="8">
        <v>3</v>
      </c>
      <c r="G31" s="8">
        <v>0.2</v>
      </c>
      <c r="H31" s="9">
        <v>45426</v>
      </c>
      <c r="I31" s="8">
        <v>160.24</v>
      </c>
    </row>
    <row r="32" spans="1:9" x14ac:dyDescent="0.25">
      <c r="A32" s="8" t="s">
        <v>54</v>
      </c>
      <c r="B32" s="8" t="s">
        <v>55</v>
      </c>
      <c r="C32" s="8" t="s">
        <v>24</v>
      </c>
      <c r="D32" s="8" t="s">
        <v>21</v>
      </c>
      <c r="E32" s="8">
        <v>1450.71</v>
      </c>
      <c r="F32" s="8">
        <v>5</v>
      </c>
      <c r="G32" s="8">
        <v>0.1</v>
      </c>
      <c r="H32" s="9">
        <v>45427</v>
      </c>
      <c r="I32" s="8">
        <v>326.41000000000003</v>
      </c>
    </row>
    <row r="33" spans="1:9" x14ac:dyDescent="0.25">
      <c r="A33" s="8" t="s">
        <v>49</v>
      </c>
      <c r="B33" s="8" t="s">
        <v>56</v>
      </c>
      <c r="C33" s="8" t="s">
        <v>34</v>
      </c>
      <c r="D33" s="8" t="s">
        <v>12</v>
      </c>
      <c r="E33" s="8">
        <v>1023.21</v>
      </c>
      <c r="F33" s="8">
        <v>18</v>
      </c>
      <c r="G33" s="8">
        <v>0.05</v>
      </c>
      <c r="H33" s="9">
        <v>45428</v>
      </c>
      <c r="I33" s="8">
        <v>388.82</v>
      </c>
    </row>
    <row r="34" spans="1:9" x14ac:dyDescent="0.25">
      <c r="A34" s="8" t="s">
        <v>28</v>
      </c>
      <c r="B34" s="8" t="s">
        <v>47</v>
      </c>
      <c r="C34" s="8" t="s">
        <v>11</v>
      </c>
      <c r="D34" s="8" t="s">
        <v>27</v>
      </c>
      <c r="E34" s="8">
        <v>853.72</v>
      </c>
      <c r="F34" s="8">
        <v>5</v>
      </c>
      <c r="G34" s="8">
        <v>0.15</v>
      </c>
      <c r="H34" s="9">
        <v>45428</v>
      </c>
      <c r="I34" s="8">
        <v>253.98</v>
      </c>
    </row>
    <row r="35" spans="1:9" x14ac:dyDescent="0.25">
      <c r="A35" s="8" t="s">
        <v>57</v>
      </c>
      <c r="B35" s="8" t="s">
        <v>43</v>
      </c>
      <c r="C35" s="8" t="s">
        <v>20</v>
      </c>
      <c r="D35" s="8" t="s">
        <v>21</v>
      </c>
      <c r="E35" s="8">
        <v>967.89</v>
      </c>
      <c r="F35" s="8">
        <v>10</v>
      </c>
      <c r="G35" s="8">
        <v>0.1</v>
      </c>
      <c r="H35" s="9">
        <v>45429</v>
      </c>
      <c r="I35" s="8">
        <v>217.78</v>
      </c>
    </row>
    <row r="36" spans="1:9" x14ac:dyDescent="0.25">
      <c r="A36" s="8" t="s">
        <v>58</v>
      </c>
      <c r="B36" s="8" t="s">
        <v>53</v>
      </c>
      <c r="C36" s="8" t="s">
        <v>24</v>
      </c>
      <c r="D36" s="8" t="s">
        <v>39</v>
      </c>
      <c r="E36" s="8">
        <v>1200.9000000000001</v>
      </c>
      <c r="F36" s="8">
        <v>14</v>
      </c>
      <c r="G36" s="8">
        <v>0.05</v>
      </c>
      <c r="H36" s="9">
        <v>45429</v>
      </c>
      <c r="I36" s="8">
        <v>513.38</v>
      </c>
    </row>
    <row r="37" spans="1:9" x14ac:dyDescent="0.25">
      <c r="A37" s="8" t="s">
        <v>13</v>
      </c>
      <c r="B37" s="8" t="s">
        <v>26</v>
      </c>
      <c r="C37" s="8" t="s">
        <v>11</v>
      </c>
      <c r="D37" s="8" t="s">
        <v>12</v>
      </c>
      <c r="E37" s="8">
        <v>472.38</v>
      </c>
      <c r="F37" s="8">
        <v>12</v>
      </c>
      <c r="G37" s="8">
        <v>0.2</v>
      </c>
      <c r="H37" s="9">
        <v>45429</v>
      </c>
      <c r="I37" s="8">
        <v>151.16</v>
      </c>
    </row>
    <row r="38" spans="1:9" x14ac:dyDescent="0.25">
      <c r="A38" s="8" t="s">
        <v>9</v>
      </c>
      <c r="B38" s="8" t="s">
        <v>55</v>
      </c>
      <c r="C38" s="8" t="s">
        <v>18</v>
      </c>
      <c r="D38" s="8" t="s">
        <v>39</v>
      </c>
      <c r="E38" s="8">
        <v>840.92</v>
      </c>
      <c r="F38" s="8">
        <v>9</v>
      </c>
      <c r="G38" s="8">
        <v>0.05</v>
      </c>
      <c r="H38" s="9">
        <v>45429</v>
      </c>
      <c r="I38" s="8">
        <v>359.49</v>
      </c>
    </row>
    <row r="39" spans="1:9" x14ac:dyDescent="0.25">
      <c r="A39" s="8" t="s">
        <v>52</v>
      </c>
      <c r="B39" s="8" t="s">
        <v>48</v>
      </c>
      <c r="C39" s="8" t="s">
        <v>34</v>
      </c>
      <c r="D39" s="8" t="s">
        <v>27</v>
      </c>
      <c r="E39" s="8">
        <v>1410.06</v>
      </c>
      <c r="F39" s="8">
        <v>11</v>
      </c>
      <c r="G39" s="8">
        <v>0.05</v>
      </c>
      <c r="H39" s="9">
        <v>45434</v>
      </c>
      <c r="I39" s="8">
        <v>468.84</v>
      </c>
    </row>
    <row r="40" spans="1:9" x14ac:dyDescent="0.25">
      <c r="A40" s="8" t="s">
        <v>44</v>
      </c>
      <c r="B40" s="8" t="s">
        <v>59</v>
      </c>
      <c r="C40" s="8" t="s">
        <v>34</v>
      </c>
      <c r="D40" s="8" t="s">
        <v>27</v>
      </c>
      <c r="E40" s="8">
        <v>773.09</v>
      </c>
      <c r="F40" s="8">
        <v>13</v>
      </c>
      <c r="G40" s="8">
        <v>0.15</v>
      </c>
      <c r="H40" s="9">
        <v>45434</v>
      </c>
      <c r="I40" s="8">
        <v>229.99</v>
      </c>
    </row>
    <row r="41" spans="1:9" x14ac:dyDescent="0.25">
      <c r="A41" s="8" t="s">
        <v>60</v>
      </c>
      <c r="B41" s="8" t="s">
        <v>61</v>
      </c>
      <c r="C41" s="8" t="s">
        <v>18</v>
      </c>
      <c r="D41" s="8" t="s">
        <v>12</v>
      </c>
      <c r="E41" s="8">
        <v>580.42999999999995</v>
      </c>
      <c r="F41" s="8">
        <v>19</v>
      </c>
      <c r="G41" s="8">
        <v>0.15</v>
      </c>
      <c r="H41" s="9">
        <v>45435</v>
      </c>
      <c r="I41" s="8">
        <v>197.35</v>
      </c>
    </row>
    <row r="42" spans="1:9" x14ac:dyDescent="0.25">
      <c r="A42" s="8" t="s">
        <v>19</v>
      </c>
      <c r="B42" s="8" t="s">
        <v>42</v>
      </c>
      <c r="C42" s="8" t="s">
        <v>20</v>
      </c>
      <c r="D42" s="8" t="s">
        <v>12</v>
      </c>
      <c r="E42" s="8">
        <v>1151.21</v>
      </c>
      <c r="F42" s="8">
        <v>15</v>
      </c>
      <c r="G42" s="8">
        <v>0.1</v>
      </c>
      <c r="H42" s="9">
        <v>45445</v>
      </c>
      <c r="I42" s="8">
        <v>414.44</v>
      </c>
    </row>
    <row r="43" spans="1:9" x14ac:dyDescent="0.25">
      <c r="A43" s="8" t="s">
        <v>52</v>
      </c>
      <c r="B43" s="8" t="s">
        <v>23</v>
      </c>
      <c r="C43" s="8" t="s">
        <v>34</v>
      </c>
      <c r="D43" s="8" t="s">
        <v>39</v>
      </c>
      <c r="E43" s="8">
        <v>1025.98</v>
      </c>
      <c r="F43" s="8">
        <v>5</v>
      </c>
      <c r="G43" s="8">
        <v>0.2</v>
      </c>
      <c r="H43" s="9">
        <v>45447</v>
      </c>
      <c r="I43" s="8">
        <v>369.35</v>
      </c>
    </row>
    <row r="44" spans="1:9" x14ac:dyDescent="0.25">
      <c r="A44" s="8" t="s">
        <v>40</v>
      </c>
      <c r="B44" s="8" t="s">
        <v>56</v>
      </c>
      <c r="C44" s="8" t="s">
        <v>18</v>
      </c>
      <c r="D44" s="8" t="s">
        <v>39</v>
      </c>
      <c r="E44" s="8">
        <v>556.41999999999996</v>
      </c>
      <c r="F44" s="8">
        <v>11</v>
      </c>
      <c r="G44" s="8">
        <v>0.15</v>
      </c>
      <c r="H44" s="9">
        <v>45447</v>
      </c>
      <c r="I44" s="8">
        <v>212.83</v>
      </c>
    </row>
    <row r="45" spans="1:9" x14ac:dyDescent="0.25">
      <c r="A45" s="8" t="s">
        <v>57</v>
      </c>
      <c r="B45" s="8" t="s">
        <v>23</v>
      </c>
      <c r="C45" s="8" t="s">
        <v>34</v>
      </c>
      <c r="D45" s="8" t="s">
        <v>12</v>
      </c>
      <c r="E45" s="8">
        <v>840.85</v>
      </c>
      <c r="F45" s="8">
        <v>19</v>
      </c>
      <c r="G45" s="8">
        <v>0.1</v>
      </c>
      <c r="H45" s="9">
        <v>45448</v>
      </c>
      <c r="I45" s="8">
        <v>302.70999999999998</v>
      </c>
    </row>
    <row r="46" spans="1:9" x14ac:dyDescent="0.25">
      <c r="A46" s="8" t="s">
        <v>30</v>
      </c>
      <c r="B46" s="8" t="s">
        <v>61</v>
      </c>
      <c r="C46" s="8" t="s">
        <v>24</v>
      </c>
      <c r="D46" s="8" t="s">
        <v>27</v>
      </c>
      <c r="E46" s="8">
        <v>1227.25</v>
      </c>
      <c r="F46" s="8">
        <v>12</v>
      </c>
      <c r="G46" s="8">
        <v>0.15</v>
      </c>
      <c r="H46" s="9">
        <v>45448</v>
      </c>
      <c r="I46" s="8">
        <v>365.11</v>
      </c>
    </row>
    <row r="47" spans="1:9" x14ac:dyDescent="0.25">
      <c r="A47" s="8" t="s">
        <v>16</v>
      </c>
      <c r="B47" s="8" t="s">
        <v>62</v>
      </c>
      <c r="C47" s="8" t="s">
        <v>34</v>
      </c>
      <c r="D47" s="8" t="s">
        <v>21</v>
      </c>
      <c r="E47" s="8">
        <v>856.7</v>
      </c>
      <c r="F47" s="8">
        <v>2</v>
      </c>
      <c r="G47" s="8">
        <v>0</v>
      </c>
      <c r="H47" s="9">
        <v>45449</v>
      </c>
      <c r="I47" s="8">
        <v>214.18</v>
      </c>
    </row>
    <row r="48" spans="1:9" x14ac:dyDescent="0.25">
      <c r="A48" s="8" t="s">
        <v>54</v>
      </c>
      <c r="B48" s="8" t="s">
        <v>56</v>
      </c>
      <c r="C48" s="8" t="s">
        <v>34</v>
      </c>
      <c r="D48" s="8" t="s">
        <v>39</v>
      </c>
      <c r="E48" s="8">
        <v>1225.42</v>
      </c>
      <c r="F48" s="8">
        <v>8</v>
      </c>
      <c r="G48" s="8">
        <v>0.15</v>
      </c>
      <c r="H48" s="9">
        <v>45449</v>
      </c>
      <c r="I48" s="8">
        <v>468.72</v>
      </c>
    </row>
    <row r="49" spans="1:9" x14ac:dyDescent="0.25">
      <c r="A49" s="8" t="s">
        <v>63</v>
      </c>
      <c r="B49" s="8" t="s">
        <v>31</v>
      </c>
      <c r="C49" s="8" t="s">
        <v>24</v>
      </c>
      <c r="D49" s="8" t="s">
        <v>39</v>
      </c>
      <c r="E49" s="8">
        <v>1001.57</v>
      </c>
      <c r="F49" s="8">
        <v>12</v>
      </c>
      <c r="G49" s="8">
        <v>0</v>
      </c>
      <c r="H49" s="9">
        <v>45450</v>
      </c>
      <c r="I49" s="8">
        <v>450.71</v>
      </c>
    </row>
    <row r="50" spans="1:9" x14ac:dyDescent="0.25">
      <c r="A50" s="8" t="s">
        <v>57</v>
      </c>
      <c r="B50" s="8" t="s">
        <v>26</v>
      </c>
      <c r="C50" s="8" t="s">
        <v>18</v>
      </c>
      <c r="D50" s="8" t="s">
        <v>27</v>
      </c>
      <c r="E50" s="8">
        <v>1186.8499999999999</v>
      </c>
      <c r="F50" s="8">
        <v>19</v>
      </c>
      <c r="G50" s="8">
        <v>0.2</v>
      </c>
      <c r="H50" s="9">
        <v>45451</v>
      </c>
      <c r="I50" s="8">
        <v>332.32</v>
      </c>
    </row>
    <row r="51" spans="1:9" x14ac:dyDescent="0.25">
      <c r="A51" s="8" t="s">
        <v>44</v>
      </c>
      <c r="B51" s="8" t="s">
        <v>51</v>
      </c>
      <c r="C51" s="8" t="s">
        <v>20</v>
      </c>
      <c r="D51" s="8" t="s">
        <v>21</v>
      </c>
      <c r="E51" s="8">
        <v>775.45</v>
      </c>
      <c r="F51" s="8">
        <v>6</v>
      </c>
      <c r="G51" s="8">
        <v>0.1</v>
      </c>
      <c r="H51" s="9">
        <v>45457</v>
      </c>
      <c r="I51" s="8">
        <v>174.48</v>
      </c>
    </row>
    <row r="52" spans="1:9" x14ac:dyDescent="0.25">
      <c r="A52" s="8" t="s">
        <v>25</v>
      </c>
      <c r="B52" s="8" t="s">
        <v>33</v>
      </c>
      <c r="C52" s="8" t="s">
        <v>20</v>
      </c>
      <c r="D52" s="8" t="s">
        <v>21</v>
      </c>
      <c r="E52" s="8">
        <v>1021.47</v>
      </c>
      <c r="F52" s="8">
        <v>6</v>
      </c>
      <c r="G52" s="8">
        <v>0.05</v>
      </c>
      <c r="H52" s="9">
        <v>45461</v>
      </c>
      <c r="I52" s="8">
        <v>242.6</v>
      </c>
    </row>
    <row r="53" spans="1:9" x14ac:dyDescent="0.25">
      <c r="A53" s="8" t="s">
        <v>58</v>
      </c>
      <c r="B53" s="8" t="s">
        <v>23</v>
      </c>
      <c r="C53" s="8" t="s">
        <v>20</v>
      </c>
      <c r="D53" s="8" t="s">
        <v>15</v>
      </c>
      <c r="E53" s="8">
        <v>1226.6199999999999</v>
      </c>
      <c r="F53" s="8">
        <v>7</v>
      </c>
      <c r="G53" s="8">
        <v>0.1</v>
      </c>
      <c r="H53" s="9">
        <v>45463</v>
      </c>
      <c r="I53" s="8">
        <v>551.98</v>
      </c>
    </row>
    <row r="54" spans="1:9" x14ac:dyDescent="0.25">
      <c r="A54" s="8" t="s">
        <v>22</v>
      </c>
      <c r="B54" s="8" t="s">
        <v>64</v>
      </c>
      <c r="C54" s="8" t="s">
        <v>20</v>
      </c>
      <c r="D54" s="8" t="s">
        <v>27</v>
      </c>
      <c r="E54" s="8">
        <v>1086.93</v>
      </c>
      <c r="F54" s="8">
        <v>2</v>
      </c>
      <c r="G54" s="8">
        <v>0</v>
      </c>
      <c r="H54" s="9">
        <v>45464</v>
      </c>
      <c r="I54" s="8">
        <v>380.43</v>
      </c>
    </row>
    <row r="55" spans="1:9" x14ac:dyDescent="0.25">
      <c r="A55" s="8" t="s">
        <v>65</v>
      </c>
      <c r="B55" s="8" t="s">
        <v>48</v>
      </c>
      <c r="C55" s="8" t="s">
        <v>11</v>
      </c>
      <c r="D55" s="8" t="s">
        <v>12</v>
      </c>
      <c r="E55" s="8">
        <v>942.9</v>
      </c>
      <c r="F55" s="8">
        <v>18</v>
      </c>
      <c r="G55" s="8">
        <v>0.1</v>
      </c>
      <c r="H55" s="9">
        <v>45466</v>
      </c>
      <c r="I55" s="8">
        <v>339.44</v>
      </c>
    </row>
    <row r="56" spans="1:9" x14ac:dyDescent="0.25">
      <c r="A56" s="8" t="s">
        <v>32</v>
      </c>
      <c r="B56" s="8" t="s">
        <v>38</v>
      </c>
      <c r="C56" s="8" t="s">
        <v>24</v>
      </c>
      <c r="D56" s="8" t="s">
        <v>21</v>
      </c>
      <c r="E56" s="8">
        <v>818.8</v>
      </c>
      <c r="F56" s="8">
        <v>15</v>
      </c>
      <c r="G56" s="8">
        <v>0.15</v>
      </c>
      <c r="H56" s="9">
        <v>45468</v>
      </c>
      <c r="I56" s="8">
        <v>173.99</v>
      </c>
    </row>
    <row r="57" spans="1:9" x14ac:dyDescent="0.25">
      <c r="A57" s="8" t="s">
        <v>19</v>
      </c>
      <c r="B57" s="8" t="s">
        <v>14</v>
      </c>
      <c r="C57" s="8" t="s">
        <v>20</v>
      </c>
      <c r="D57" s="8" t="s">
        <v>27</v>
      </c>
      <c r="E57" s="8">
        <v>919.04</v>
      </c>
      <c r="F57" s="8">
        <v>10</v>
      </c>
      <c r="G57" s="8">
        <v>0.2</v>
      </c>
      <c r="H57" s="9">
        <v>45468</v>
      </c>
      <c r="I57" s="8">
        <v>257.33</v>
      </c>
    </row>
    <row r="58" spans="1:9" x14ac:dyDescent="0.25">
      <c r="A58" s="8" t="s">
        <v>22</v>
      </c>
      <c r="B58" s="8" t="s">
        <v>66</v>
      </c>
      <c r="C58" s="8" t="s">
        <v>34</v>
      </c>
      <c r="D58" s="8" t="s">
        <v>12</v>
      </c>
      <c r="E58" s="8">
        <v>973.26</v>
      </c>
      <c r="F58" s="8">
        <v>11</v>
      </c>
      <c r="G58" s="8">
        <v>0</v>
      </c>
      <c r="H58" s="9">
        <v>45470</v>
      </c>
      <c r="I58" s="8">
        <v>389.3</v>
      </c>
    </row>
    <row r="59" spans="1:9" x14ac:dyDescent="0.25">
      <c r="A59" s="8" t="s">
        <v>41</v>
      </c>
      <c r="B59" s="8" t="s">
        <v>64</v>
      </c>
      <c r="C59" s="8" t="s">
        <v>24</v>
      </c>
      <c r="D59" s="8" t="s">
        <v>21</v>
      </c>
      <c r="E59" s="8">
        <v>741.61</v>
      </c>
      <c r="F59" s="8">
        <v>1</v>
      </c>
      <c r="G59" s="8">
        <v>0.2</v>
      </c>
      <c r="H59" s="9">
        <v>45471</v>
      </c>
      <c r="I59" s="8">
        <v>148.32</v>
      </c>
    </row>
    <row r="60" spans="1:9" x14ac:dyDescent="0.25">
      <c r="A60" s="8" t="s">
        <v>67</v>
      </c>
      <c r="B60" s="8" t="s">
        <v>38</v>
      </c>
      <c r="C60" s="8" t="s">
        <v>24</v>
      </c>
      <c r="D60" s="8" t="s">
        <v>12</v>
      </c>
      <c r="E60" s="8">
        <v>1248.82</v>
      </c>
      <c r="F60" s="8">
        <v>2</v>
      </c>
      <c r="G60" s="8">
        <v>0.1</v>
      </c>
      <c r="H60" s="9">
        <v>45473</v>
      </c>
      <c r="I60" s="8">
        <v>449.58</v>
      </c>
    </row>
    <row r="61" spans="1:9" x14ac:dyDescent="0.25">
      <c r="A61" s="8" t="s">
        <v>13</v>
      </c>
      <c r="B61" s="8" t="s">
        <v>59</v>
      </c>
      <c r="C61" s="8" t="s">
        <v>11</v>
      </c>
      <c r="D61" s="8" t="s">
        <v>15</v>
      </c>
      <c r="E61" s="8">
        <v>1360.36</v>
      </c>
      <c r="F61" s="8">
        <v>17</v>
      </c>
      <c r="G61" s="8">
        <v>0</v>
      </c>
      <c r="H61" s="9">
        <v>45473</v>
      </c>
      <c r="I61" s="8">
        <v>680.18</v>
      </c>
    </row>
    <row r="62" spans="1:9" x14ac:dyDescent="0.25">
      <c r="A62" s="8" t="s">
        <v>57</v>
      </c>
      <c r="B62" s="8" t="s">
        <v>31</v>
      </c>
      <c r="C62" s="8" t="s">
        <v>18</v>
      </c>
      <c r="D62" s="8" t="s">
        <v>12</v>
      </c>
      <c r="E62" s="8">
        <v>1383.3</v>
      </c>
      <c r="F62" s="8">
        <v>8</v>
      </c>
      <c r="G62" s="8">
        <v>0.1</v>
      </c>
      <c r="H62" s="9">
        <v>45478</v>
      </c>
      <c r="I62" s="8">
        <v>497.99</v>
      </c>
    </row>
    <row r="63" spans="1:9" x14ac:dyDescent="0.25">
      <c r="A63" s="8" t="s">
        <v>35</v>
      </c>
      <c r="B63" s="8" t="s">
        <v>55</v>
      </c>
      <c r="C63" s="8" t="s">
        <v>34</v>
      </c>
      <c r="D63" s="8" t="s">
        <v>39</v>
      </c>
      <c r="E63" s="8">
        <v>488.99</v>
      </c>
      <c r="F63" s="8">
        <v>9</v>
      </c>
      <c r="G63" s="8">
        <v>0</v>
      </c>
      <c r="H63" s="9">
        <v>45479</v>
      </c>
      <c r="I63" s="8">
        <v>220.05</v>
      </c>
    </row>
    <row r="64" spans="1:9" x14ac:dyDescent="0.25">
      <c r="A64" s="8" t="s">
        <v>30</v>
      </c>
      <c r="B64" s="8" t="s">
        <v>31</v>
      </c>
      <c r="C64" s="8" t="s">
        <v>18</v>
      </c>
      <c r="D64" s="8" t="s">
        <v>27</v>
      </c>
      <c r="E64" s="8">
        <v>933.71</v>
      </c>
      <c r="F64" s="8">
        <v>17</v>
      </c>
      <c r="G64" s="8">
        <v>0.1</v>
      </c>
      <c r="H64" s="9">
        <v>45481</v>
      </c>
      <c r="I64" s="8">
        <v>294.12</v>
      </c>
    </row>
    <row r="65" spans="1:9" x14ac:dyDescent="0.25">
      <c r="A65" s="8" t="s">
        <v>67</v>
      </c>
      <c r="B65" s="8" t="s">
        <v>10</v>
      </c>
      <c r="C65" s="8" t="s">
        <v>11</v>
      </c>
      <c r="D65" s="8" t="s">
        <v>21</v>
      </c>
      <c r="E65" s="8">
        <v>1005.53</v>
      </c>
      <c r="F65" s="8">
        <v>17</v>
      </c>
      <c r="G65" s="8">
        <v>0.2</v>
      </c>
      <c r="H65" s="9">
        <v>45481</v>
      </c>
      <c r="I65" s="8">
        <v>201.11</v>
      </c>
    </row>
    <row r="66" spans="1:9" x14ac:dyDescent="0.25">
      <c r="A66" s="8" t="s">
        <v>41</v>
      </c>
      <c r="B66" s="8" t="s">
        <v>61</v>
      </c>
      <c r="C66" s="8" t="s">
        <v>20</v>
      </c>
      <c r="D66" s="8" t="s">
        <v>21</v>
      </c>
      <c r="E66" s="8">
        <v>1100.0999999999999</v>
      </c>
      <c r="F66" s="8">
        <v>5</v>
      </c>
      <c r="G66" s="8">
        <v>0.05</v>
      </c>
      <c r="H66" s="9">
        <v>45482</v>
      </c>
      <c r="I66" s="8">
        <v>261.27</v>
      </c>
    </row>
    <row r="67" spans="1:9" x14ac:dyDescent="0.25">
      <c r="A67" s="8" t="s">
        <v>67</v>
      </c>
      <c r="B67" s="8" t="s">
        <v>23</v>
      </c>
      <c r="C67" s="8" t="s">
        <v>24</v>
      </c>
      <c r="D67" s="8" t="s">
        <v>27</v>
      </c>
      <c r="E67" s="8">
        <v>1034.7</v>
      </c>
      <c r="F67" s="8">
        <v>15</v>
      </c>
      <c r="G67" s="8">
        <v>0.15</v>
      </c>
      <c r="H67" s="9">
        <v>45487</v>
      </c>
      <c r="I67" s="8">
        <v>307.82</v>
      </c>
    </row>
    <row r="68" spans="1:9" x14ac:dyDescent="0.25">
      <c r="A68" s="8" t="s">
        <v>65</v>
      </c>
      <c r="B68" s="8" t="s">
        <v>31</v>
      </c>
      <c r="C68" s="8" t="s">
        <v>20</v>
      </c>
      <c r="D68" s="8" t="s">
        <v>12</v>
      </c>
      <c r="E68" s="8">
        <v>876.44</v>
      </c>
      <c r="F68" s="8">
        <v>12</v>
      </c>
      <c r="G68" s="8">
        <v>0.05</v>
      </c>
      <c r="H68" s="9">
        <v>45488</v>
      </c>
      <c r="I68" s="8">
        <v>333.05</v>
      </c>
    </row>
    <row r="69" spans="1:9" x14ac:dyDescent="0.25">
      <c r="A69" s="8" t="s">
        <v>68</v>
      </c>
      <c r="B69" s="8" t="s">
        <v>55</v>
      </c>
      <c r="C69" s="8" t="s">
        <v>11</v>
      </c>
      <c r="D69" s="8" t="s">
        <v>27</v>
      </c>
      <c r="E69" s="8">
        <v>1371.34</v>
      </c>
      <c r="F69" s="8">
        <v>5</v>
      </c>
      <c r="G69" s="8">
        <v>0.05</v>
      </c>
      <c r="H69" s="9">
        <v>45488</v>
      </c>
      <c r="I69" s="8">
        <v>455.97</v>
      </c>
    </row>
    <row r="70" spans="1:9" x14ac:dyDescent="0.25">
      <c r="A70" s="8" t="s">
        <v>57</v>
      </c>
      <c r="B70" s="8" t="s">
        <v>47</v>
      </c>
      <c r="C70" s="8" t="s">
        <v>24</v>
      </c>
      <c r="D70" s="8" t="s">
        <v>21</v>
      </c>
      <c r="E70" s="8">
        <v>1020.26</v>
      </c>
      <c r="F70" s="8">
        <v>11</v>
      </c>
      <c r="G70" s="8">
        <v>0.05</v>
      </c>
      <c r="H70" s="9">
        <v>45494</v>
      </c>
      <c r="I70" s="8">
        <v>242.31</v>
      </c>
    </row>
    <row r="71" spans="1:9" x14ac:dyDescent="0.25">
      <c r="A71" s="8" t="s">
        <v>44</v>
      </c>
      <c r="B71" s="8" t="s">
        <v>10</v>
      </c>
      <c r="C71" s="8" t="s">
        <v>34</v>
      </c>
      <c r="D71" s="8" t="s">
        <v>39</v>
      </c>
      <c r="E71" s="8">
        <v>804.81</v>
      </c>
      <c r="F71" s="8">
        <v>1</v>
      </c>
      <c r="G71" s="8">
        <v>0.05</v>
      </c>
      <c r="H71" s="9">
        <v>45502</v>
      </c>
      <c r="I71" s="8">
        <v>344.06</v>
      </c>
    </row>
    <row r="72" spans="1:9" x14ac:dyDescent="0.25">
      <c r="A72" s="8" t="s">
        <v>22</v>
      </c>
      <c r="B72" s="8" t="s">
        <v>55</v>
      </c>
      <c r="C72" s="8" t="s">
        <v>34</v>
      </c>
      <c r="D72" s="8" t="s">
        <v>21</v>
      </c>
      <c r="E72" s="8">
        <v>608.66</v>
      </c>
      <c r="F72" s="8">
        <v>1</v>
      </c>
      <c r="G72" s="8">
        <v>0.05</v>
      </c>
      <c r="H72" s="9">
        <v>45503</v>
      </c>
      <c r="I72" s="8">
        <v>144.56</v>
      </c>
    </row>
    <row r="73" spans="1:9" x14ac:dyDescent="0.25">
      <c r="A73" s="8" t="s">
        <v>68</v>
      </c>
      <c r="B73" s="8" t="s">
        <v>69</v>
      </c>
      <c r="C73" s="8" t="s">
        <v>20</v>
      </c>
      <c r="D73" s="8" t="s">
        <v>39</v>
      </c>
      <c r="E73" s="8">
        <v>981.2</v>
      </c>
      <c r="F73" s="8">
        <v>19</v>
      </c>
      <c r="G73" s="8">
        <v>0</v>
      </c>
      <c r="H73" s="9">
        <v>45504</v>
      </c>
      <c r="I73" s="8">
        <v>441.54</v>
      </c>
    </row>
    <row r="74" spans="1:9" x14ac:dyDescent="0.25">
      <c r="A74" s="8" t="s">
        <v>70</v>
      </c>
      <c r="B74" s="8" t="s">
        <v>55</v>
      </c>
      <c r="C74" s="8" t="s">
        <v>18</v>
      </c>
      <c r="D74" s="8" t="s">
        <v>21</v>
      </c>
      <c r="E74" s="8">
        <v>539.77</v>
      </c>
      <c r="F74" s="8">
        <v>10</v>
      </c>
      <c r="G74" s="8">
        <v>0.15</v>
      </c>
      <c r="H74" s="9">
        <v>45509</v>
      </c>
      <c r="I74" s="8">
        <v>114.7</v>
      </c>
    </row>
    <row r="75" spans="1:9" x14ac:dyDescent="0.25">
      <c r="A75" s="8" t="s">
        <v>13</v>
      </c>
      <c r="B75" s="8" t="s">
        <v>71</v>
      </c>
      <c r="C75" s="8" t="s">
        <v>20</v>
      </c>
      <c r="D75" s="8" t="s">
        <v>12</v>
      </c>
      <c r="E75" s="8">
        <v>804.45</v>
      </c>
      <c r="F75" s="8">
        <v>5</v>
      </c>
      <c r="G75" s="8">
        <v>0.2</v>
      </c>
      <c r="H75" s="9">
        <v>45509</v>
      </c>
      <c r="I75" s="8">
        <v>257.42</v>
      </c>
    </row>
    <row r="76" spans="1:9" x14ac:dyDescent="0.25">
      <c r="A76" s="8" t="s">
        <v>70</v>
      </c>
      <c r="B76" s="8" t="s">
        <v>38</v>
      </c>
      <c r="C76" s="8" t="s">
        <v>11</v>
      </c>
      <c r="D76" s="8" t="s">
        <v>21</v>
      </c>
      <c r="E76" s="8">
        <v>1526.6</v>
      </c>
      <c r="F76" s="8">
        <v>13</v>
      </c>
      <c r="G76" s="8">
        <v>0.2</v>
      </c>
      <c r="H76" s="9">
        <v>45512</v>
      </c>
      <c r="I76" s="8">
        <v>305.32</v>
      </c>
    </row>
    <row r="77" spans="1:9" x14ac:dyDescent="0.25">
      <c r="A77" s="8" t="s">
        <v>13</v>
      </c>
      <c r="B77" s="8" t="s">
        <v>29</v>
      </c>
      <c r="C77" s="8" t="s">
        <v>11</v>
      </c>
      <c r="D77" s="8" t="s">
        <v>21</v>
      </c>
      <c r="E77" s="8">
        <v>1215.26</v>
      </c>
      <c r="F77" s="8">
        <v>5</v>
      </c>
      <c r="G77" s="8">
        <v>0.15</v>
      </c>
      <c r="H77" s="9">
        <v>45513</v>
      </c>
      <c r="I77" s="8">
        <v>258.24</v>
      </c>
    </row>
    <row r="78" spans="1:9" x14ac:dyDescent="0.25">
      <c r="A78" s="8" t="s">
        <v>19</v>
      </c>
      <c r="B78" s="8" t="s">
        <v>53</v>
      </c>
      <c r="C78" s="8" t="s">
        <v>34</v>
      </c>
      <c r="D78" s="8" t="s">
        <v>27</v>
      </c>
      <c r="E78" s="8">
        <v>1261.3399999999999</v>
      </c>
      <c r="F78" s="8">
        <v>3</v>
      </c>
      <c r="G78" s="8">
        <v>0</v>
      </c>
      <c r="H78" s="9">
        <v>45519</v>
      </c>
      <c r="I78" s="8">
        <v>441.47</v>
      </c>
    </row>
    <row r="79" spans="1:9" x14ac:dyDescent="0.25">
      <c r="A79" s="8" t="s">
        <v>72</v>
      </c>
      <c r="B79" s="8" t="s">
        <v>45</v>
      </c>
      <c r="C79" s="8" t="s">
        <v>24</v>
      </c>
      <c r="D79" s="8" t="s">
        <v>27</v>
      </c>
      <c r="E79" s="8">
        <v>518.07000000000005</v>
      </c>
      <c r="F79" s="8">
        <v>7</v>
      </c>
      <c r="G79" s="8">
        <v>0.05</v>
      </c>
      <c r="H79" s="9">
        <v>45522</v>
      </c>
      <c r="I79" s="8">
        <v>172.26</v>
      </c>
    </row>
    <row r="80" spans="1:9" x14ac:dyDescent="0.25">
      <c r="A80" s="8" t="s">
        <v>30</v>
      </c>
      <c r="B80" s="8" t="s">
        <v>29</v>
      </c>
      <c r="C80" s="8" t="s">
        <v>11</v>
      </c>
      <c r="D80" s="8" t="s">
        <v>39</v>
      </c>
      <c r="E80" s="8">
        <v>1111.3399999999999</v>
      </c>
      <c r="F80" s="8">
        <v>1</v>
      </c>
      <c r="G80" s="8">
        <v>0</v>
      </c>
      <c r="H80" s="9">
        <v>45523</v>
      </c>
      <c r="I80" s="8">
        <v>500.1</v>
      </c>
    </row>
    <row r="81" spans="1:9" x14ac:dyDescent="0.25">
      <c r="A81" s="8" t="s">
        <v>22</v>
      </c>
      <c r="B81" s="8" t="s">
        <v>31</v>
      </c>
      <c r="C81" s="8" t="s">
        <v>18</v>
      </c>
      <c r="D81" s="8" t="s">
        <v>15</v>
      </c>
      <c r="E81" s="8">
        <v>1291.47</v>
      </c>
      <c r="F81" s="8">
        <v>18</v>
      </c>
      <c r="G81" s="8">
        <v>0.1</v>
      </c>
      <c r="H81" s="9">
        <v>45526</v>
      </c>
      <c r="I81" s="8">
        <v>581.16</v>
      </c>
    </row>
    <row r="82" spans="1:9" x14ac:dyDescent="0.25">
      <c r="A82" s="8" t="s">
        <v>25</v>
      </c>
      <c r="B82" s="8" t="s">
        <v>55</v>
      </c>
      <c r="C82" s="8" t="s">
        <v>24</v>
      </c>
      <c r="D82" s="8" t="s">
        <v>12</v>
      </c>
      <c r="E82" s="8">
        <v>679.71</v>
      </c>
      <c r="F82" s="8">
        <v>19</v>
      </c>
      <c r="G82" s="8">
        <v>0</v>
      </c>
      <c r="H82" s="9">
        <v>45534</v>
      </c>
      <c r="I82" s="8">
        <v>271.88</v>
      </c>
    </row>
    <row r="83" spans="1:9" x14ac:dyDescent="0.25">
      <c r="A83" s="8" t="s">
        <v>68</v>
      </c>
      <c r="B83" s="8" t="s">
        <v>33</v>
      </c>
      <c r="C83" s="8" t="s">
        <v>18</v>
      </c>
      <c r="D83" s="8" t="s">
        <v>27</v>
      </c>
      <c r="E83" s="8">
        <v>1143.69</v>
      </c>
      <c r="F83" s="8">
        <v>17</v>
      </c>
      <c r="G83" s="8">
        <v>0</v>
      </c>
      <c r="H83" s="9">
        <v>45534</v>
      </c>
      <c r="I83" s="8">
        <v>400.29</v>
      </c>
    </row>
    <row r="84" spans="1:9" x14ac:dyDescent="0.25">
      <c r="A84" s="8" t="s">
        <v>52</v>
      </c>
      <c r="B84" s="8" t="s">
        <v>50</v>
      </c>
      <c r="C84" s="8" t="s">
        <v>34</v>
      </c>
      <c r="D84" s="8" t="s">
        <v>21</v>
      </c>
      <c r="E84" s="8">
        <v>790.08</v>
      </c>
      <c r="F84" s="8">
        <v>7</v>
      </c>
      <c r="G84" s="8">
        <v>0.1</v>
      </c>
      <c r="H84" s="9">
        <v>45536</v>
      </c>
      <c r="I84" s="8">
        <v>177.77</v>
      </c>
    </row>
    <row r="85" spans="1:9" x14ac:dyDescent="0.25">
      <c r="A85" s="8" t="s">
        <v>19</v>
      </c>
      <c r="B85" s="8" t="s">
        <v>48</v>
      </c>
      <c r="C85" s="8" t="s">
        <v>34</v>
      </c>
      <c r="D85" s="8" t="s">
        <v>12</v>
      </c>
      <c r="E85" s="8">
        <v>1070.68</v>
      </c>
      <c r="F85" s="8">
        <v>7</v>
      </c>
      <c r="G85" s="8">
        <v>0.05</v>
      </c>
      <c r="H85" s="9">
        <v>45536</v>
      </c>
      <c r="I85" s="8">
        <v>406.86</v>
      </c>
    </row>
    <row r="86" spans="1:9" x14ac:dyDescent="0.25">
      <c r="A86" s="8" t="s">
        <v>58</v>
      </c>
      <c r="B86" s="8" t="s">
        <v>36</v>
      </c>
      <c r="C86" s="8" t="s">
        <v>11</v>
      </c>
      <c r="D86" s="8" t="s">
        <v>15</v>
      </c>
      <c r="E86" s="8">
        <v>1168.8900000000001</v>
      </c>
      <c r="F86" s="8">
        <v>4</v>
      </c>
      <c r="G86" s="8">
        <v>0.1</v>
      </c>
      <c r="H86" s="9">
        <v>45544</v>
      </c>
      <c r="I86" s="8">
        <v>526</v>
      </c>
    </row>
    <row r="87" spans="1:9" x14ac:dyDescent="0.25">
      <c r="A87" s="8" t="s">
        <v>67</v>
      </c>
      <c r="B87" s="8" t="s">
        <v>10</v>
      </c>
      <c r="C87" s="8" t="s">
        <v>20</v>
      </c>
      <c r="D87" s="8" t="s">
        <v>21</v>
      </c>
      <c r="E87" s="8">
        <v>1335.87</v>
      </c>
      <c r="F87" s="8">
        <v>17</v>
      </c>
      <c r="G87" s="8">
        <v>0</v>
      </c>
      <c r="H87" s="9">
        <v>45544</v>
      </c>
      <c r="I87" s="8">
        <v>333.97</v>
      </c>
    </row>
    <row r="88" spans="1:9" x14ac:dyDescent="0.25">
      <c r="A88" s="8" t="s">
        <v>40</v>
      </c>
      <c r="B88" s="8" t="s">
        <v>55</v>
      </c>
      <c r="C88" s="8" t="s">
        <v>18</v>
      </c>
      <c r="D88" s="8" t="s">
        <v>27</v>
      </c>
      <c r="E88" s="8">
        <v>873.7</v>
      </c>
      <c r="F88" s="8">
        <v>9</v>
      </c>
      <c r="G88" s="8">
        <v>0</v>
      </c>
      <c r="H88" s="9">
        <v>45546</v>
      </c>
      <c r="I88" s="8">
        <v>305.8</v>
      </c>
    </row>
    <row r="89" spans="1:9" x14ac:dyDescent="0.25">
      <c r="A89" s="8" t="s">
        <v>72</v>
      </c>
      <c r="B89" s="8" t="s">
        <v>64</v>
      </c>
      <c r="C89" s="8" t="s">
        <v>11</v>
      </c>
      <c r="D89" s="8" t="s">
        <v>39</v>
      </c>
      <c r="E89" s="8">
        <v>1443.98</v>
      </c>
      <c r="F89" s="8">
        <v>19</v>
      </c>
      <c r="G89" s="8">
        <v>0</v>
      </c>
      <c r="H89" s="9">
        <v>45547</v>
      </c>
      <c r="I89" s="8">
        <v>649.79</v>
      </c>
    </row>
    <row r="90" spans="1:9" x14ac:dyDescent="0.25">
      <c r="A90" s="8" t="s">
        <v>40</v>
      </c>
      <c r="B90" s="8" t="s">
        <v>23</v>
      </c>
      <c r="C90" s="8" t="s">
        <v>18</v>
      </c>
      <c r="D90" s="8" t="s">
        <v>39</v>
      </c>
      <c r="E90" s="8">
        <v>1154.33</v>
      </c>
      <c r="F90" s="8">
        <v>11</v>
      </c>
      <c r="G90" s="8">
        <v>0.15</v>
      </c>
      <c r="H90" s="9">
        <v>45549</v>
      </c>
      <c r="I90" s="8">
        <v>441.53</v>
      </c>
    </row>
    <row r="91" spans="1:9" x14ac:dyDescent="0.25">
      <c r="A91" s="8" t="s">
        <v>49</v>
      </c>
      <c r="B91" s="8" t="s">
        <v>50</v>
      </c>
      <c r="C91" s="8" t="s">
        <v>20</v>
      </c>
      <c r="D91" s="8" t="s">
        <v>12</v>
      </c>
      <c r="E91" s="8">
        <v>1264.49</v>
      </c>
      <c r="F91" s="8">
        <v>16</v>
      </c>
      <c r="G91" s="8">
        <v>0.05</v>
      </c>
      <c r="H91" s="9">
        <v>45549</v>
      </c>
      <c r="I91" s="8">
        <v>480.51</v>
      </c>
    </row>
    <row r="92" spans="1:9" x14ac:dyDescent="0.25">
      <c r="A92" s="8" t="s">
        <v>25</v>
      </c>
      <c r="B92" s="8" t="s">
        <v>66</v>
      </c>
      <c r="C92" s="8" t="s">
        <v>11</v>
      </c>
      <c r="D92" s="8" t="s">
        <v>27</v>
      </c>
      <c r="E92" s="8">
        <v>1101.55</v>
      </c>
      <c r="F92" s="8">
        <v>4</v>
      </c>
      <c r="G92" s="8">
        <v>0.1</v>
      </c>
      <c r="H92" s="9">
        <v>45551</v>
      </c>
      <c r="I92" s="8">
        <v>346.99</v>
      </c>
    </row>
    <row r="93" spans="1:9" x14ac:dyDescent="0.25">
      <c r="A93" s="8" t="s">
        <v>73</v>
      </c>
      <c r="B93" s="8" t="s">
        <v>14</v>
      </c>
      <c r="C93" s="8" t="s">
        <v>20</v>
      </c>
      <c r="D93" s="8" t="s">
        <v>27</v>
      </c>
      <c r="E93" s="8">
        <v>727.73</v>
      </c>
      <c r="F93" s="8">
        <v>1</v>
      </c>
      <c r="G93" s="8">
        <v>0.1</v>
      </c>
      <c r="H93" s="9">
        <v>45552</v>
      </c>
      <c r="I93" s="8">
        <v>229.23</v>
      </c>
    </row>
    <row r="94" spans="1:9" x14ac:dyDescent="0.25">
      <c r="A94" s="8" t="s">
        <v>74</v>
      </c>
      <c r="B94" s="8" t="s">
        <v>38</v>
      </c>
      <c r="C94" s="8" t="s">
        <v>18</v>
      </c>
      <c r="D94" s="8" t="s">
        <v>39</v>
      </c>
      <c r="E94" s="8">
        <v>875.41</v>
      </c>
      <c r="F94" s="8">
        <v>13</v>
      </c>
      <c r="G94" s="8">
        <v>0.15</v>
      </c>
      <c r="H94" s="9">
        <v>45552</v>
      </c>
      <c r="I94" s="8">
        <v>334.84</v>
      </c>
    </row>
    <row r="95" spans="1:9" x14ac:dyDescent="0.25">
      <c r="A95" s="8" t="s">
        <v>67</v>
      </c>
      <c r="B95" s="8" t="s">
        <v>23</v>
      </c>
      <c r="C95" s="8" t="s">
        <v>11</v>
      </c>
      <c r="D95" s="8" t="s">
        <v>21</v>
      </c>
      <c r="E95" s="8">
        <v>1158.94</v>
      </c>
      <c r="F95" s="8">
        <v>19</v>
      </c>
      <c r="G95" s="8">
        <v>0.2</v>
      </c>
      <c r="H95" s="9">
        <v>45553</v>
      </c>
      <c r="I95" s="8">
        <v>231.79</v>
      </c>
    </row>
    <row r="96" spans="1:9" x14ac:dyDescent="0.25">
      <c r="A96" s="8" t="s">
        <v>75</v>
      </c>
      <c r="B96" s="8" t="s">
        <v>47</v>
      </c>
      <c r="C96" s="8" t="s">
        <v>20</v>
      </c>
      <c r="D96" s="8" t="s">
        <v>12</v>
      </c>
      <c r="E96" s="8">
        <v>966.3</v>
      </c>
      <c r="F96" s="8">
        <v>2</v>
      </c>
      <c r="G96" s="8">
        <v>0.15</v>
      </c>
      <c r="H96" s="9">
        <v>45557</v>
      </c>
      <c r="I96" s="8">
        <v>328.54</v>
      </c>
    </row>
    <row r="97" spans="1:9" x14ac:dyDescent="0.25">
      <c r="A97" s="8" t="s">
        <v>68</v>
      </c>
      <c r="B97" s="8" t="s">
        <v>17</v>
      </c>
      <c r="C97" s="8" t="s">
        <v>20</v>
      </c>
      <c r="D97" s="8" t="s">
        <v>12</v>
      </c>
      <c r="E97" s="8">
        <v>917.48</v>
      </c>
      <c r="F97" s="8">
        <v>6</v>
      </c>
      <c r="G97" s="8">
        <v>0</v>
      </c>
      <c r="H97" s="9">
        <v>45558</v>
      </c>
      <c r="I97" s="8">
        <v>366.99</v>
      </c>
    </row>
    <row r="98" spans="1:9" x14ac:dyDescent="0.25">
      <c r="A98" s="8" t="s">
        <v>41</v>
      </c>
      <c r="B98" s="8" t="s">
        <v>61</v>
      </c>
      <c r="C98" s="8" t="s">
        <v>11</v>
      </c>
      <c r="D98" s="8" t="s">
        <v>27</v>
      </c>
      <c r="E98" s="8">
        <v>1172.97</v>
      </c>
      <c r="F98" s="8">
        <v>7</v>
      </c>
      <c r="G98" s="8">
        <v>0.15</v>
      </c>
      <c r="H98" s="9">
        <v>45559</v>
      </c>
      <c r="I98" s="8">
        <v>348.96</v>
      </c>
    </row>
    <row r="99" spans="1:9" x14ac:dyDescent="0.25">
      <c r="A99" s="8" t="s">
        <v>57</v>
      </c>
      <c r="B99" s="8" t="s">
        <v>23</v>
      </c>
      <c r="C99" s="8" t="s">
        <v>24</v>
      </c>
      <c r="D99" s="8" t="s">
        <v>15</v>
      </c>
      <c r="E99" s="8">
        <v>1205.82</v>
      </c>
      <c r="F99" s="8">
        <v>11</v>
      </c>
      <c r="G99" s="8">
        <v>0.1</v>
      </c>
      <c r="H99" s="9">
        <v>45559</v>
      </c>
      <c r="I99" s="8">
        <v>542.62</v>
      </c>
    </row>
    <row r="100" spans="1:9" x14ac:dyDescent="0.25">
      <c r="A100" s="8" t="s">
        <v>16</v>
      </c>
      <c r="B100" s="8" t="s">
        <v>64</v>
      </c>
      <c r="C100" s="8" t="s">
        <v>11</v>
      </c>
      <c r="D100" s="8" t="s">
        <v>39</v>
      </c>
      <c r="E100" s="8">
        <v>826.93</v>
      </c>
      <c r="F100" s="8">
        <v>10</v>
      </c>
      <c r="G100" s="8">
        <v>0.2</v>
      </c>
      <c r="H100" s="9">
        <v>45564</v>
      </c>
      <c r="I100" s="8">
        <v>297.69</v>
      </c>
    </row>
    <row r="101" spans="1:9" x14ac:dyDescent="0.25">
      <c r="A101" s="8" t="s">
        <v>67</v>
      </c>
      <c r="B101" s="8" t="s">
        <v>23</v>
      </c>
      <c r="C101" s="8" t="s">
        <v>34</v>
      </c>
      <c r="D101" s="8" t="s">
        <v>15</v>
      </c>
      <c r="E101" s="8">
        <v>902.19</v>
      </c>
      <c r="F101" s="8">
        <v>12</v>
      </c>
      <c r="G101" s="8">
        <v>0</v>
      </c>
      <c r="H101" s="9">
        <v>45564</v>
      </c>
      <c r="I101" s="8">
        <v>451.1</v>
      </c>
    </row>
    <row r="102" spans="1:9" x14ac:dyDescent="0.25">
      <c r="A102" s="8" t="s">
        <v>74</v>
      </c>
      <c r="B102" s="8" t="s">
        <v>38</v>
      </c>
      <c r="C102" s="8" t="s">
        <v>24</v>
      </c>
      <c r="D102" s="8" t="s">
        <v>12</v>
      </c>
      <c r="E102" s="8">
        <v>585.97</v>
      </c>
      <c r="F102" s="8">
        <v>17</v>
      </c>
      <c r="G102" s="8">
        <v>0.1</v>
      </c>
      <c r="H102" s="9">
        <v>45565</v>
      </c>
      <c r="I102" s="8">
        <v>210.95</v>
      </c>
    </row>
    <row r="103" spans="1:9" x14ac:dyDescent="0.25">
      <c r="A103" s="8" t="s">
        <v>60</v>
      </c>
      <c r="B103" s="8" t="s">
        <v>26</v>
      </c>
      <c r="C103" s="8" t="s">
        <v>24</v>
      </c>
      <c r="D103" s="8" t="s">
        <v>15</v>
      </c>
      <c r="E103" s="8">
        <v>990.19</v>
      </c>
      <c r="F103" s="8">
        <v>8</v>
      </c>
      <c r="G103" s="8">
        <v>0.1</v>
      </c>
      <c r="H103" s="9">
        <v>45565</v>
      </c>
      <c r="I103" s="8">
        <v>445.59</v>
      </c>
    </row>
    <row r="104" spans="1:9" x14ac:dyDescent="0.25">
      <c r="A104" s="8" t="s">
        <v>44</v>
      </c>
      <c r="B104" s="8" t="s">
        <v>56</v>
      </c>
      <c r="C104" s="8" t="s">
        <v>34</v>
      </c>
      <c r="D104" s="8" t="s">
        <v>21</v>
      </c>
      <c r="E104" s="8">
        <v>1014.09</v>
      </c>
      <c r="F104" s="8">
        <v>13</v>
      </c>
      <c r="G104" s="8">
        <v>0.2</v>
      </c>
      <c r="H104" s="9">
        <v>45567</v>
      </c>
      <c r="I104" s="8">
        <v>202.82</v>
      </c>
    </row>
    <row r="105" spans="1:9" x14ac:dyDescent="0.25">
      <c r="A105" s="8" t="s">
        <v>13</v>
      </c>
      <c r="B105" s="8" t="s">
        <v>48</v>
      </c>
      <c r="C105" s="8" t="s">
        <v>24</v>
      </c>
      <c r="D105" s="8" t="s">
        <v>21</v>
      </c>
      <c r="E105" s="8">
        <v>925.29</v>
      </c>
      <c r="F105" s="8">
        <v>17</v>
      </c>
      <c r="G105" s="8">
        <v>0</v>
      </c>
      <c r="H105" s="9">
        <v>45570</v>
      </c>
      <c r="I105" s="8">
        <v>231.32</v>
      </c>
    </row>
    <row r="106" spans="1:9" x14ac:dyDescent="0.25">
      <c r="A106" s="8" t="s">
        <v>54</v>
      </c>
      <c r="B106" s="8" t="s">
        <v>47</v>
      </c>
      <c r="C106" s="8" t="s">
        <v>18</v>
      </c>
      <c r="D106" s="8" t="s">
        <v>27</v>
      </c>
      <c r="E106" s="8">
        <v>1286.54</v>
      </c>
      <c r="F106" s="8">
        <v>8</v>
      </c>
      <c r="G106" s="8">
        <v>0</v>
      </c>
      <c r="H106" s="9">
        <v>45575</v>
      </c>
      <c r="I106" s="8">
        <v>450.29</v>
      </c>
    </row>
    <row r="107" spans="1:9" x14ac:dyDescent="0.25">
      <c r="A107" s="8" t="s">
        <v>37</v>
      </c>
      <c r="B107" s="8" t="s">
        <v>64</v>
      </c>
      <c r="C107" s="8" t="s">
        <v>20</v>
      </c>
      <c r="D107" s="8" t="s">
        <v>12</v>
      </c>
      <c r="E107" s="8">
        <v>961.62</v>
      </c>
      <c r="F107" s="8">
        <v>8</v>
      </c>
      <c r="G107" s="8">
        <v>0.2</v>
      </c>
      <c r="H107" s="9">
        <v>45577</v>
      </c>
      <c r="I107" s="8">
        <v>307.72000000000003</v>
      </c>
    </row>
    <row r="108" spans="1:9" x14ac:dyDescent="0.25">
      <c r="A108" s="8" t="s">
        <v>44</v>
      </c>
      <c r="B108" s="8" t="s">
        <v>23</v>
      </c>
      <c r="C108" s="8" t="s">
        <v>18</v>
      </c>
      <c r="D108" s="8" t="s">
        <v>12</v>
      </c>
      <c r="E108" s="8">
        <v>1081.1400000000001</v>
      </c>
      <c r="F108" s="8">
        <v>19</v>
      </c>
      <c r="G108" s="8">
        <v>0.15</v>
      </c>
      <c r="H108" s="9">
        <v>45577</v>
      </c>
      <c r="I108" s="8">
        <v>367.59</v>
      </c>
    </row>
    <row r="109" spans="1:9" x14ac:dyDescent="0.25">
      <c r="A109" s="8" t="s">
        <v>58</v>
      </c>
      <c r="B109" s="8" t="s">
        <v>23</v>
      </c>
      <c r="C109" s="8" t="s">
        <v>11</v>
      </c>
      <c r="D109" s="8" t="s">
        <v>15</v>
      </c>
      <c r="E109" s="8">
        <v>1923.66</v>
      </c>
      <c r="F109" s="8">
        <v>9</v>
      </c>
      <c r="G109" s="8">
        <v>0.2</v>
      </c>
      <c r="H109" s="9">
        <v>45580</v>
      </c>
      <c r="I109" s="8">
        <v>769.46</v>
      </c>
    </row>
    <row r="110" spans="1:9" x14ac:dyDescent="0.25">
      <c r="A110" s="8" t="s">
        <v>54</v>
      </c>
      <c r="B110" s="8" t="s">
        <v>66</v>
      </c>
      <c r="C110" s="8" t="s">
        <v>34</v>
      </c>
      <c r="D110" s="8" t="s">
        <v>15</v>
      </c>
      <c r="E110" s="8">
        <v>728.71</v>
      </c>
      <c r="F110" s="8">
        <v>14</v>
      </c>
      <c r="G110" s="8">
        <v>0.1</v>
      </c>
      <c r="H110" s="9">
        <v>45581</v>
      </c>
      <c r="I110" s="8">
        <v>327.92</v>
      </c>
    </row>
    <row r="111" spans="1:9" x14ac:dyDescent="0.25">
      <c r="A111" s="8" t="s">
        <v>9</v>
      </c>
      <c r="B111" s="8" t="s">
        <v>33</v>
      </c>
      <c r="C111" s="8" t="s">
        <v>34</v>
      </c>
      <c r="D111" s="8" t="s">
        <v>15</v>
      </c>
      <c r="E111" s="8">
        <v>1301.8900000000001</v>
      </c>
      <c r="F111" s="8">
        <v>7</v>
      </c>
      <c r="G111" s="8">
        <v>0.15</v>
      </c>
      <c r="H111" s="9">
        <v>45581</v>
      </c>
      <c r="I111" s="8">
        <v>553.29999999999995</v>
      </c>
    </row>
    <row r="112" spans="1:9" x14ac:dyDescent="0.25">
      <c r="A112" s="8" t="s">
        <v>70</v>
      </c>
      <c r="B112" s="8" t="s">
        <v>66</v>
      </c>
      <c r="C112" s="8" t="s">
        <v>18</v>
      </c>
      <c r="D112" s="8" t="s">
        <v>12</v>
      </c>
      <c r="E112" s="8">
        <v>980.18</v>
      </c>
      <c r="F112" s="8">
        <v>16</v>
      </c>
      <c r="G112" s="8">
        <v>0.1</v>
      </c>
      <c r="H112" s="9">
        <v>45582</v>
      </c>
      <c r="I112" s="8">
        <v>352.86</v>
      </c>
    </row>
    <row r="113" spans="1:9" x14ac:dyDescent="0.25">
      <c r="A113" s="8" t="s">
        <v>74</v>
      </c>
      <c r="B113" s="8" t="s">
        <v>23</v>
      </c>
      <c r="C113" s="8" t="s">
        <v>11</v>
      </c>
      <c r="D113" s="8" t="s">
        <v>15</v>
      </c>
      <c r="E113" s="8">
        <v>697.57</v>
      </c>
      <c r="F113" s="8">
        <v>17</v>
      </c>
      <c r="G113" s="8">
        <v>0.1</v>
      </c>
      <c r="H113" s="9">
        <v>45584</v>
      </c>
      <c r="I113" s="8">
        <v>313.91000000000003</v>
      </c>
    </row>
    <row r="114" spans="1:9" x14ac:dyDescent="0.25">
      <c r="A114" s="8" t="s">
        <v>46</v>
      </c>
      <c r="B114" s="8" t="s">
        <v>71</v>
      </c>
      <c r="C114" s="8" t="s">
        <v>11</v>
      </c>
      <c r="D114" s="8" t="s">
        <v>27</v>
      </c>
      <c r="E114" s="8">
        <v>1193.6099999999999</v>
      </c>
      <c r="F114" s="8">
        <v>1</v>
      </c>
      <c r="G114" s="8">
        <v>0.15</v>
      </c>
      <c r="H114" s="9">
        <v>45584</v>
      </c>
      <c r="I114" s="8">
        <v>355.1</v>
      </c>
    </row>
    <row r="115" spans="1:9" x14ac:dyDescent="0.25">
      <c r="A115" s="8" t="s">
        <v>32</v>
      </c>
      <c r="B115" s="8" t="s">
        <v>38</v>
      </c>
      <c r="C115" s="8" t="s">
        <v>20</v>
      </c>
      <c r="D115" s="8" t="s">
        <v>21</v>
      </c>
      <c r="E115" s="8">
        <v>771.02</v>
      </c>
      <c r="F115" s="8">
        <v>1</v>
      </c>
      <c r="G115" s="8">
        <v>0</v>
      </c>
      <c r="H115" s="9">
        <v>45585</v>
      </c>
      <c r="I115" s="8">
        <v>192.76</v>
      </c>
    </row>
    <row r="116" spans="1:9" x14ac:dyDescent="0.25">
      <c r="A116" s="8" t="s">
        <v>67</v>
      </c>
      <c r="B116" s="8" t="s">
        <v>69</v>
      </c>
      <c r="C116" s="8" t="s">
        <v>24</v>
      </c>
      <c r="D116" s="8" t="s">
        <v>15</v>
      </c>
      <c r="E116" s="8">
        <v>661.09</v>
      </c>
      <c r="F116" s="8">
        <v>1</v>
      </c>
      <c r="G116" s="8">
        <v>0.2</v>
      </c>
      <c r="H116" s="9">
        <v>45593</v>
      </c>
      <c r="I116" s="8">
        <v>264.44</v>
      </c>
    </row>
    <row r="117" spans="1:9" x14ac:dyDescent="0.25">
      <c r="A117" s="8" t="s">
        <v>13</v>
      </c>
      <c r="B117" s="8" t="s">
        <v>55</v>
      </c>
      <c r="C117" s="8" t="s">
        <v>11</v>
      </c>
      <c r="D117" s="8" t="s">
        <v>21</v>
      </c>
      <c r="E117" s="8">
        <v>688.83</v>
      </c>
      <c r="F117" s="8">
        <v>15</v>
      </c>
      <c r="G117" s="8">
        <v>0</v>
      </c>
      <c r="H117" s="9">
        <v>45595</v>
      </c>
      <c r="I117" s="8">
        <v>172.21</v>
      </c>
    </row>
    <row r="118" spans="1:9" x14ac:dyDescent="0.25">
      <c r="A118" s="8" t="s">
        <v>73</v>
      </c>
      <c r="B118" s="8" t="s">
        <v>29</v>
      </c>
      <c r="C118" s="8" t="s">
        <v>34</v>
      </c>
      <c r="D118" s="8" t="s">
        <v>12</v>
      </c>
      <c r="E118" s="8">
        <v>1249.0999999999999</v>
      </c>
      <c r="F118" s="8">
        <v>4</v>
      </c>
      <c r="G118" s="8">
        <v>0.05</v>
      </c>
      <c r="H118" s="9">
        <v>45597</v>
      </c>
      <c r="I118" s="8">
        <v>474.66</v>
      </c>
    </row>
    <row r="119" spans="1:9" x14ac:dyDescent="0.25">
      <c r="A119" s="8" t="s">
        <v>44</v>
      </c>
      <c r="B119" s="8" t="s">
        <v>23</v>
      </c>
      <c r="C119" s="8" t="s">
        <v>18</v>
      </c>
      <c r="D119" s="8" t="s">
        <v>39</v>
      </c>
      <c r="E119" s="8">
        <v>1014.22</v>
      </c>
      <c r="F119" s="8">
        <v>14</v>
      </c>
      <c r="G119" s="8">
        <v>0.05</v>
      </c>
      <c r="H119" s="9">
        <v>45599</v>
      </c>
      <c r="I119" s="8">
        <v>433.58</v>
      </c>
    </row>
    <row r="120" spans="1:9" x14ac:dyDescent="0.25">
      <c r="A120" s="8" t="s">
        <v>54</v>
      </c>
      <c r="B120" s="8" t="s">
        <v>48</v>
      </c>
      <c r="C120" s="8" t="s">
        <v>18</v>
      </c>
      <c r="D120" s="8" t="s">
        <v>12</v>
      </c>
      <c r="E120" s="8">
        <v>1010.58</v>
      </c>
      <c r="F120" s="8">
        <v>2</v>
      </c>
      <c r="G120" s="8">
        <v>0.15</v>
      </c>
      <c r="H120" s="9">
        <v>45605</v>
      </c>
      <c r="I120" s="8">
        <v>343.6</v>
      </c>
    </row>
    <row r="121" spans="1:9" x14ac:dyDescent="0.25">
      <c r="A121" s="8" t="s">
        <v>30</v>
      </c>
      <c r="B121" s="8" t="s">
        <v>59</v>
      </c>
      <c r="C121" s="8" t="s">
        <v>24</v>
      </c>
      <c r="D121" s="8" t="s">
        <v>27</v>
      </c>
      <c r="E121" s="8">
        <v>957.29</v>
      </c>
      <c r="F121" s="8">
        <v>4</v>
      </c>
      <c r="G121" s="8">
        <v>0.05</v>
      </c>
      <c r="H121" s="9">
        <v>45605</v>
      </c>
      <c r="I121" s="8">
        <v>318.3</v>
      </c>
    </row>
    <row r="122" spans="1:9" x14ac:dyDescent="0.25">
      <c r="A122" s="8" t="s">
        <v>28</v>
      </c>
      <c r="B122" s="8" t="s">
        <v>45</v>
      </c>
      <c r="C122" s="8" t="s">
        <v>24</v>
      </c>
      <c r="D122" s="8" t="s">
        <v>27</v>
      </c>
      <c r="E122" s="8">
        <v>1077.92</v>
      </c>
      <c r="F122" s="8">
        <v>3</v>
      </c>
      <c r="G122" s="8">
        <v>0.05</v>
      </c>
      <c r="H122" s="9">
        <v>45608</v>
      </c>
      <c r="I122" s="8">
        <v>358.41</v>
      </c>
    </row>
    <row r="123" spans="1:9" x14ac:dyDescent="0.25">
      <c r="A123" s="8" t="s">
        <v>52</v>
      </c>
      <c r="B123" s="8" t="s">
        <v>50</v>
      </c>
      <c r="C123" s="8" t="s">
        <v>20</v>
      </c>
      <c r="D123" s="8" t="s">
        <v>15</v>
      </c>
      <c r="E123" s="8">
        <v>1163.01</v>
      </c>
      <c r="F123" s="8">
        <v>5</v>
      </c>
      <c r="G123" s="8">
        <v>0</v>
      </c>
      <c r="H123" s="9">
        <v>45611</v>
      </c>
      <c r="I123" s="8">
        <v>581.5</v>
      </c>
    </row>
    <row r="124" spans="1:9" x14ac:dyDescent="0.25">
      <c r="A124" s="8" t="s">
        <v>54</v>
      </c>
      <c r="B124" s="8" t="s">
        <v>45</v>
      </c>
      <c r="C124" s="8" t="s">
        <v>18</v>
      </c>
      <c r="D124" s="8" t="s">
        <v>39</v>
      </c>
      <c r="E124" s="8">
        <v>1014.56</v>
      </c>
      <c r="F124" s="8">
        <v>10</v>
      </c>
      <c r="G124" s="8">
        <v>0.1</v>
      </c>
      <c r="H124" s="9">
        <v>45612</v>
      </c>
      <c r="I124" s="8">
        <v>410.9</v>
      </c>
    </row>
    <row r="125" spans="1:9" x14ac:dyDescent="0.25">
      <c r="A125" s="8" t="s">
        <v>9</v>
      </c>
      <c r="B125" s="8" t="s">
        <v>17</v>
      </c>
      <c r="C125" s="8" t="s">
        <v>20</v>
      </c>
      <c r="D125" s="8" t="s">
        <v>21</v>
      </c>
      <c r="E125" s="8">
        <v>718.04</v>
      </c>
      <c r="F125" s="8">
        <v>14</v>
      </c>
      <c r="G125" s="8">
        <v>0</v>
      </c>
      <c r="H125" s="9">
        <v>45613</v>
      </c>
      <c r="I125" s="8">
        <v>179.51</v>
      </c>
    </row>
    <row r="126" spans="1:9" x14ac:dyDescent="0.25">
      <c r="A126" s="8" t="s">
        <v>72</v>
      </c>
      <c r="B126" s="8" t="s">
        <v>17</v>
      </c>
      <c r="C126" s="8" t="s">
        <v>34</v>
      </c>
      <c r="D126" s="8" t="s">
        <v>15</v>
      </c>
      <c r="E126" s="8">
        <v>1277.8499999999999</v>
      </c>
      <c r="F126" s="8">
        <v>18</v>
      </c>
      <c r="G126" s="8">
        <v>0.2</v>
      </c>
      <c r="H126" s="9">
        <v>45613</v>
      </c>
      <c r="I126" s="8">
        <v>511.14</v>
      </c>
    </row>
    <row r="127" spans="1:9" x14ac:dyDescent="0.25">
      <c r="A127" s="8" t="s">
        <v>70</v>
      </c>
      <c r="B127" s="8" t="s">
        <v>23</v>
      </c>
      <c r="C127" s="8" t="s">
        <v>24</v>
      </c>
      <c r="D127" s="8" t="s">
        <v>21</v>
      </c>
      <c r="E127" s="8">
        <v>706.73</v>
      </c>
      <c r="F127" s="8">
        <v>1</v>
      </c>
      <c r="G127" s="8">
        <v>0.15</v>
      </c>
      <c r="H127" s="9">
        <v>45613</v>
      </c>
      <c r="I127" s="8">
        <v>150.18</v>
      </c>
    </row>
    <row r="128" spans="1:9" x14ac:dyDescent="0.25">
      <c r="A128" s="8" t="s">
        <v>65</v>
      </c>
      <c r="B128" s="8" t="s">
        <v>50</v>
      </c>
      <c r="C128" s="8" t="s">
        <v>18</v>
      </c>
      <c r="D128" s="8" t="s">
        <v>21</v>
      </c>
      <c r="E128" s="8">
        <v>1410.59</v>
      </c>
      <c r="F128" s="8">
        <v>15</v>
      </c>
      <c r="G128" s="8">
        <v>0</v>
      </c>
      <c r="H128" s="9">
        <v>45615</v>
      </c>
      <c r="I128" s="8">
        <v>352.65</v>
      </c>
    </row>
    <row r="129" spans="1:9" x14ac:dyDescent="0.25">
      <c r="A129" s="8" t="s">
        <v>32</v>
      </c>
      <c r="B129" s="8" t="s">
        <v>61</v>
      </c>
      <c r="C129" s="8" t="s">
        <v>20</v>
      </c>
      <c r="D129" s="8" t="s">
        <v>27</v>
      </c>
      <c r="E129" s="8">
        <v>1350.33</v>
      </c>
      <c r="F129" s="8">
        <v>10</v>
      </c>
      <c r="G129" s="8">
        <v>0</v>
      </c>
      <c r="H129" s="9">
        <v>45615</v>
      </c>
      <c r="I129" s="8">
        <v>472.62</v>
      </c>
    </row>
    <row r="130" spans="1:9" x14ac:dyDescent="0.25">
      <c r="A130" s="8" t="s">
        <v>41</v>
      </c>
      <c r="B130" s="8" t="s">
        <v>45</v>
      </c>
      <c r="C130" s="8" t="s">
        <v>18</v>
      </c>
      <c r="D130" s="8" t="s">
        <v>21</v>
      </c>
      <c r="E130" s="8">
        <v>919.18</v>
      </c>
      <c r="F130" s="8">
        <v>4</v>
      </c>
      <c r="G130" s="8">
        <v>0.15</v>
      </c>
      <c r="H130" s="9">
        <v>45615</v>
      </c>
      <c r="I130" s="8">
        <v>195.33</v>
      </c>
    </row>
    <row r="131" spans="1:9" x14ac:dyDescent="0.25">
      <c r="A131" s="8" t="s">
        <v>74</v>
      </c>
      <c r="B131" s="8" t="s">
        <v>23</v>
      </c>
      <c r="C131" s="8" t="s">
        <v>11</v>
      </c>
      <c r="D131" s="8" t="s">
        <v>21</v>
      </c>
      <c r="E131" s="8">
        <v>258.51</v>
      </c>
      <c r="F131" s="8">
        <v>19</v>
      </c>
      <c r="G131" s="8">
        <v>0</v>
      </c>
      <c r="H131" s="9">
        <v>45616</v>
      </c>
      <c r="I131" s="8">
        <v>64.63</v>
      </c>
    </row>
    <row r="132" spans="1:9" x14ac:dyDescent="0.25">
      <c r="A132" s="8" t="s">
        <v>63</v>
      </c>
      <c r="B132" s="8" t="s">
        <v>61</v>
      </c>
      <c r="C132" s="8" t="s">
        <v>18</v>
      </c>
      <c r="D132" s="8" t="s">
        <v>12</v>
      </c>
      <c r="E132" s="8">
        <v>1213.48</v>
      </c>
      <c r="F132" s="8">
        <v>5</v>
      </c>
      <c r="G132" s="8">
        <v>0.05</v>
      </c>
      <c r="H132" s="9">
        <v>45616</v>
      </c>
      <c r="I132" s="8">
        <v>461.12</v>
      </c>
    </row>
    <row r="133" spans="1:9" x14ac:dyDescent="0.25">
      <c r="A133" s="8" t="s">
        <v>57</v>
      </c>
      <c r="B133" s="8" t="s">
        <v>38</v>
      </c>
      <c r="C133" s="8" t="s">
        <v>34</v>
      </c>
      <c r="D133" s="8" t="s">
        <v>12</v>
      </c>
      <c r="E133" s="8">
        <v>1150.28</v>
      </c>
      <c r="F133" s="8">
        <v>8</v>
      </c>
      <c r="G133" s="8">
        <v>0.05</v>
      </c>
      <c r="H133" s="9">
        <v>45622</v>
      </c>
      <c r="I133" s="8">
        <v>437.11</v>
      </c>
    </row>
    <row r="134" spans="1:9" x14ac:dyDescent="0.25">
      <c r="A134" s="8" t="s">
        <v>37</v>
      </c>
      <c r="B134" s="8" t="s">
        <v>71</v>
      </c>
      <c r="C134" s="8" t="s">
        <v>20</v>
      </c>
      <c r="D134" s="8" t="s">
        <v>27</v>
      </c>
      <c r="E134" s="8">
        <v>853.86</v>
      </c>
      <c r="F134" s="8">
        <v>8</v>
      </c>
      <c r="G134" s="8">
        <v>0.1</v>
      </c>
      <c r="H134" s="9">
        <v>45622</v>
      </c>
      <c r="I134" s="8">
        <v>268.97000000000003</v>
      </c>
    </row>
    <row r="135" spans="1:9" x14ac:dyDescent="0.25">
      <c r="A135" s="8" t="s">
        <v>75</v>
      </c>
      <c r="B135" s="8" t="s">
        <v>45</v>
      </c>
      <c r="C135" s="8" t="s">
        <v>20</v>
      </c>
      <c r="D135" s="8" t="s">
        <v>21</v>
      </c>
      <c r="E135" s="8">
        <v>1061.04</v>
      </c>
      <c r="F135" s="8">
        <v>1</v>
      </c>
      <c r="G135" s="8">
        <v>0</v>
      </c>
      <c r="H135" s="9">
        <v>45624</v>
      </c>
      <c r="I135" s="8">
        <v>265.26</v>
      </c>
    </row>
    <row r="136" spans="1:9" x14ac:dyDescent="0.25">
      <c r="A136" s="8" t="s">
        <v>28</v>
      </c>
      <c r="B136" s="8" t="s">
        <v>43</v>
      </c>
      <c r="C136" s="8" t="s">
        <v>11</v>
      </c>
      <c r="D136" s="8" t="s">
        <v>21</v>
      </c>
      <c r="E136" s="8">
        <v>894.55</v>
      </c>
      <c r="F136" s="8">
        <v>19</v>
      </c>
      <c r="G136" s="8">
        <v>0.2</v>
      </c>
      <c r="H136" s="9">
        <v>45625</v>
      </c>
      <c r="I136" s="8">
        <v>178.91</v>
      </c>
    </row>
    <row r="137" spans="1:9" x14ac:dyDescent="0.25">
      <c r="A137" s="8" t="s">
        <v>25</v>
      </c>
      <c r="B137" s="8" t="s">
        <v>38</v>
      </c>
      <c r="C137" s="8" t="s">
        <v>24</v>
      </c>
      <c r="D137" s="8" t="s">
        <v>39</v>
      </c>
      <c r="E137" s="8">
        <v>833.91</v>
      </c>
      <c r="F137" s="8">
        <v>3</v>
      </c>
      <c r="G137" s="8">
        <v>0.05</v>
      </c>
      <c r="H137" s="9">
        <v>45626</v>
      </c>
      <c r="I137" s="8">
        <v>356.5</v>
      </c>
    </row>
    <row r="138" spans="1:9" x14ac:dyDescent="0.25">
      <c r="A138" s="8" t="s">
        <v>58</v>
      </c>
      <c r="B138" s="8" t="s">
        <v>71</v>
      </c>
      <c r="C138" s="8" t="s">
        <v>11</v>
      </c>
      <c r="D138" s="8" t="s">
        <v>27</v>
      </c>
      <c r="E138" s="8">
        <v>820.19</v>
      </c>
      <c r="F138" s="8">
        <v>4</v>
      </c>
      <c r="G138" s="8">
        <v>0.2</v>
      </c>
      <c r="H138" s="9">
        <v>45630</v>
      </c>
      <c r="I138" s="8">
        <v>229.65</v>
      </c>
    </row>
    <row r="139" spans="1:9" x14ac:dyDescent="0.25">
      <c r="A139" s="8" t="s">
        <v>58</v>
      </c>
      <c r="B139" s="8" t="s">
        <v>38</v>
      </c>
      <c r="C139" s="8" t="s">
        <v>34</v>
      </c>
      <c r="D139" s="8" t="s">
        <v>21</v>
      </c>
      <c r="E139" s="8">
        <v>511.74</v>
      </c>
      <c r="F139" s="8">
        <v>8</v>
      </c>
      <c r="G139" s="8">
        <v>0.05</v>
      </c>
      <c r="H139" s="9">
        <v>45631</v>
      </c>
      <c r="I139" s="8">
        <v>121.54</v>
      </c>
    </row>
    <row r="140" spans="1:9" x14ac:dyDescent="0.25">
      <c r="A140" s="8" t="s">
        <v>65</v>
      </c>
      <c r="B140" s="8" t="s">
        <v>61</v>
      </c>
      <c r="C140" s="8" t="s">
        <v>20</v>
      </c>
      <c r="D140" s="8" t="s">
        <v>27</v>
      </c>
      <c r="E140" s="8">
        <v>806.03</v>
      </c>
      <c r="F140" s="8">
        <v>19</v>
      </c>
      <c r="G140" s="8">
        <v>0.05</v>
      </c>
      <c r="H140" s="9">
        <v>45638</v>
      </c>
      <c r="I140" s="8">
        <v>268</v>
      </c>
    </row>
    <row r="141" spans="1:9" x14ac:dyDescent="0.25">
      <c r="A141" s="8" t="s">
        <v>28</v>
      </c>
      <c r="B141" s="8" t="s">
        <v>26</v>
      </c>
      <c r="C141" s="8" t="s">
        <v>34</v>
      </c>
      <c r="D141" s="8" t="s">
        <v>27</v>
      </c>
      <c r="E141" s="8">
        <v>1432.47</v>
      </c>
      <c r="F141" s="8">
        <v>16</v>
      </c>
      <c r="G141" s="8">
        <v>0.15</v>
      </c>
      <c r="H141" s="9">
        <v>45640</v>
      </c>
      <c r="I141" s="8">
        <v>426.16</v>
      </c>
    </row>
    <row r="142" spans="1:9" x14ac:dyDescent="0.25">
      <c r="A142" s="8" t="s">
        <v>74</v>
      </c>
      <c r="B142" s="8" t="s">
        <v>29</v>
      </c>
      <c r="C142" s="8" t="s">
        <v>34</v>
      </c>
      <c r="D142" s="8" t="s">
        <v>21</v>
      </c>
      <c r="E142" s="8">
        <v>1488.58</v>
      </c>
      <c r="F142" s="8">
        <v>10</v>
      </c>
      <c r="G142" s="8">
        <v>0.15</v>
      </c>
      <c r="H142" s="9">
        <v>45640</v>
      </c>
      <c r="I142" s="8">
        <v>316.32</v>
      </c>
    </row>
    <row r="143" spans="1:9" x14ac:dyDescent="0.25">
      <c r="A143" s="8" t="s">
        <v>30</v>
      </c>
      <c r="B143" s="8" t="s">
        <v>66</v>
      </c>
      <c r="C143" s="8" t="s">
        <v>18</v>
      </c>
      <c r="D143" s="8" t="s">
        <v>12</v>
      </c>
      <c r="E143" s="8">
        <v>1231.26</v>
      </c>
      <c r="F143" s="8">
        <v>9</v>
      </c>
      <c r="G143" s="8">
        <v>0</v>
      </c>
      <c r="H143" s="9">
        <v>45646</v>
      </c>
      <c r="I143" s="8">
        <v>492.5</v>
      </c>
    </row>
    <row r="144" spans="1:9" x14ac:dyDescent="0.25">
      <c r="A144" s="8" t="s">
        <v>30</v>
      </c>
      <c r="B144" s="8" t="s">
        <v>43</v>
      </c>
      <c r="C144" s="8" t="s">
        <v>11</v>
      </c>
      <c r="D144" s="8" t="s">
        <v>21</v>
      </c>
      <c r="E144" s="8">
        <v>1161.67</v>
      </c>
      <c r="F144" s="8">
        <v>19</v>
      </c>
      <c r="G144" s="8">
        <v>0.2</v>
      </c>
      <c r="H144" s="9">
        <v>45647</v>
      </c>
      <c r="I144" s="8">
        <v>232.33</v>
      </c>
    </row>
    <row r="145" spans="1:9" x14ac:dyDescent="0.25">
      <c r="A145" s="8" t="s">
        <v>49</v>
      </c>
      <c r="B145" s="8" t="s">
        <v>45</v>
      </c>
      <c r="C145" s="8" t="s">
        <v>34</v>
      </c>
      <c r="D145" s="8" t="s">
        <v>39</v>
      </c>
      <c r="E145" s="8">
        <v>388.23</v>
      </c>
      <c r="F145" s="8">
        <v>16</v>
      </c>
      <c r="G145" s="8">
        <v>0.05</v>
      </c>
      <c r="H145" s="9">
        <v>45650</v>
      </c>
      <c r="I145" s="8">
        <v>165.97</v>
      </c>
    </row>
    <row r="146" spans="1:9" x14ac:dyDescent="0.25">
      <c r="A146" s="8" t="s">
        <v>72</v>
      </c>
      <c r="B146" s="8" t="s">
        <v>31</v>
      </c>
      <c r="C146" s="8" t="s">
        <v>24</v>
      </c>
      <c r="D146" s="8" t="s">
        <v>15</v>
      </c>
      <c r="E146" s="8">
        <v>1589.42</v>
      </c>
      <c r="F146" s="8">
        <v>6</v>
      </c>
      <c r="G146" s="8">
        <v>0.15</v>
      </c>
      <c r="H146" s="9">
        <v>45651</v>
      </c>
      <c r="I146" s="8">
        <v>675.5</v>
      </c>
    </row>
    <row r="147" spans="1:9" x14ac:dyDescent="0.25">
      <c r="A147" s="8" t="s">
        <v>28</v>
      </c>
      <c r="B147" s="8" t="s">
        <v>71</v>
      </c>
      <c r="C147" s="8" t="s">
        <v>24</v>
      </c>
      <c r="D147" s="8" t="s">
        <v>15</v>
      </c>
      <c r="E147" s="8">
        <v>336.66</v>
      </c>
      <c r="F147" s="8">
        <v>13</v>
      </c>
      <c r="G147" s="8">
        <v>0.2</v>
      </c>
      <c r="H147" s="9">
        <v>45651</v>
      </c>
      <c r="I147" s="8">
        <v>134.66</v>
      </c>
    </row>
    <row r="148" spans="1:9" x14ac:dyDescent="0.25">
      <c r="A148" s="8" t="s">
        <v>49</v>
      </c>
      <c r="B148" s="8" t="s">
        <v>23</v>
      </c>
      <c r="C148" s="8" t="s">
        <v>11</v>
      </c>
      <c r="D148" s="8" t="s">
        <v>12</v>
      </c>
      <c r="E148" s="8">
        <v>1353.79</v>
      </c>
      <c r="F148" s="8">
        <v>14</v>
      </c>
      <c r="G148" s="8">
        <v>0.1</v>
      </c>
      <c r="H148" s="9">
        <v>45656</v>
      </c>
      <c r="I148" s="8">
        <v>487.36</v>
      </c>
    </row>
    <row r="149" spans="1:9" x14ac:dyDescent="0.25">
      <c r="A149" s="8" t="s">
        <v>63</v>
      </c>
      <c r="B149" s="8" t="s">
        <v>69</v>
      </c>
      <c r="C149" s="8" t="s">
        <v>34</v>
      </c>
      <c r="D149" s="8" t="s">
        <v>15</v>
      </c>
      <c r="E149" s="8">
        <v>662.61</v>
      </c>
      <c r="F149" s="8">
        <v>11</v>
      </c>
      <c r="G149" s="8">
        <v>0.05</v>
      </c>
      <c r="H149" s="9">
        <v>45658</v>
      </c>
      <c r="I149" s="8">
        <v>314.74</v>
      </c>
    </row>
    <row r="150" spans="1:9" x14ac:dyDescent="0.25">
      <c r="A150" s="8" t="s">
        <v>52</v>
      </c>
      <c r="B150" s="8" t="s">
        <v>48</v>
      </c>
      <c r="C150" s="8" t="s">
        <v>24</v>
      </c>
      <c r="D150" s="8" t="s">
        <v>39</v>
      </c>
      <c r="E150" s="8">
        <v>309.42</v>
      </c>
      <c r="F150" s="8">
        <v>1</v>
      </c>
      <c r="G150" s="8">
        <v>0.2</v>
      </c>
      <c r="H150" s="9">
        <v>45658</v>
      </c>
      <c r="I150" s="8">
        <v>111.39</v>
      </c>
    </row>
    <row r="151" spans="1:9" x14ac:dyDescent="0.25">
      <c r="A151" s="8" t="s">
        <v>63</v>
      </c>
      <c r="B151" s="8" t="s">
        <v>29</v>
      </c>
      <c r="C151" s="8" t="s">
        <v>24</v>
      </c>
      <c r="D151" s="8" t="s">
        <v>12</v>
      </c>
      <c r="E151" s="8">
        <v>884.63</v>
      </c>
      <c r="F151" s="8">
        <v>18</v>
      </c>
      <c r="G151" s="8">
        <v>0.1</v>
      </c>
      <c r="H151" s="9">
        <v>45659</v>
      </c>
      <c r="I151" s="8">
        <v>318.47000000000003</v>
      </c>
    </row>
    <row r="152" spans="1:9" x14ac:dyDescent="0.25">
      <c r="A152" s="8" t="s">
        <v>52</v>
      </c>
      <c r="B152" s="8" t="s">
        <v>23</v>
      </c>
      <c r="C152" s="8" t="s">
        <v>34</v>
      </c>
      <c r="D152" s="8" t="s">
        <v>39</v>
      </c>
      <c r="E152" s="8">
        <v>745.05</v>
      </c>
      <c r="F152" s="8">
        <v>10</v>
      </c>
      <c r="G152" s="8">
        <v>0.1</v>
      </c>
      <c r="H152" s="9">
        <v>45660</v>
      </c>
      <c r="I152" s="8">
        <v>301.75</v>
      </c>
    </row>
    <row r="153" spans="1:9" x14ac:dyDescent="0.25">
      <c r="A153" s="8" t="s">
        <v>60</v>
      </c>
      <c r="B153" s="8" t="s">
        <v>17</v>
      </c>
      <c r="C153" s="8" t="s">
        <v>20</v>
      </c>
      <c r="D153" s="8" t="s">
        <v>15</v>
      </c>
      <c r="E153" s="8">
        <v>870.23</v>
      </c>
      <c r="F153" s="8">
        <v>5</v>
      </c>
      <c r="G153" s="8">
        <v>0.05</v>
      </c>
      <c r="H153" s="9">
        <v>45660</v>
      </c>
      <c r="I153" s="8">
        <v>413.36</v>
      </c>
    </row>
    <row r="154" spans="1:9" x14ac:dyDescent="0.25">
      <c r="A154" s="8" t="s">
        <v>35</v>
      </c>
      <c r="B154" s="8" t="s">
        <v>29</v>
      </c>
      <c r="C154" s="8" t="s">
        <v>11</v>
      </c>
      <c r="D154" s="8" t="s">
        <v>27</v>
      </c>
      <c r="E154" s="8">
        <v>862.19</v>
      </c>
      <c r="F154" s="8">
        <v>18</v>
      </c>
      <c r="G154" s="8">
        <v>0.05</v>
      </c>
      <c r="H154" s="9">
        <v>45663</v>
      </c>
      <c r="I154" s="8">
        <v>286.68</v>
      </c>
    </row>
    <row r="155" spans="1:9" x14ac:dyDescent="0.25">
      <c r="A155" s="8" t="s">
        <v>73</v>
      </c>
      <c r="B155" s="8" t="s">
        <v>59</v>
      </c>
      <c r="C155" s="8" t="s">
        <v>24</v>
      </c>
      <c r="D155" s="8" t="s">
        <v>15</v>
      </c>
      <c r="E155" s="8">
        <v>1171.18</v>
      </c>
      <c r="F155" s="8">
        <v>19</v>
      </c>
      <c r="G155" s="8">
        <v>0.05</v>
      </c>
      <c r="H155" s="9">
        <v>45667</v>
      </c>
      <c r="I155" s="8">
        <v>556.30999999999995</v>
      </c>
    </row>
    <row r="156" spans="1:9" x14ac:dyDescent="0.25">
      <c r="A156" s="8" t="s">
        <v>58</v>
      </c>
      <c r="B156" s="8" t="s">
        <v>14</v>
      </c>
      <c r="C156" s="8" t="s">
        <v>20</v>
      </c>
      <c r="D156" s="8" t="s">
        <v>27</v>
      </c>
      <c r="E156" s="8">
        <v>1054.56</v>
      </c>
      <c r="F156" s="8">
        <v>11</v>
      </c>
      <c r="G156" s="8">
        <v>0.1</v>
      </c>
      <c r="H156" s="9">
        <v>45669</v>
      </c>
      <c r="I156" s="8">
        <v>332.19</v>
      </c>
    </row>
    <row r="157" spans="1:9" x14ac:dyDescent="0.25">
      <c r="A157" s="8" t="s">
        <v>58</v>
      </c>
      <c r="B157" s="8" t="s">
        <v>23</v>
      </c>
      <c r="C157" s="8" t="s">
        <v>24</v>
      </c>
      <c r="D157" s="8" t="s">
        <v>21</v>
      </c>
      <c r="E157" s="8">
        <v>1681.21</v>
      </c>
      <c r="F157" s="8">
        <v>5</v>
      </c>
      <c r="G157" s="8">
        <v>0.2</v>
      </c>
      <c r="H157" s="9">
        <v>45670</v>
      </c>
      <c r="I157" s="8">
        <v>336.24</v>
      </c>
    </row>
    <row r="158" spans="1:9" x14ac:dyDescent="0.25">
      <c r="A158" s="8" t="s">
        <v>58</v>
      </c>
      <c r="B158" s="8" t="s">
        <v>36</v>
      </c>
      <c r="C158" s="8" t="s">
        <v>11</v>
      </c>
      <c r="D158" s="8" t="s">
        <v>15</v>
      </c>
      <c r="E158" s="8">
        <v>379.77</v>
      </c>
      <c r="F158" s="8">
        <v>9</v>
      </c>
      <c r="G158" s="8">
        <v>0.05</v>
      </c>
      <c r="H158" s="9">
        <v>45673</v>
      </c>
      <c r="I158" s="8">
        <v>180.39</v>
      </c>
    </row>
    <row r="159" spans="1:9" x14ac:dyDescent="0.25">
      <c r="A159" s="8" t="s">
        <v>44</v>
      </c>
      <c r="B159" s="8" t="s">
        <v>45</v>
      </c>
      <c r="C159" s="8" t="s">
        <v>34</v>
      </c>
      <c r="D159" s="8" t="s">
        <v>15</v>
      </c>
      <c r="E159" s="8">
        <v>1076.33</v>
      </c>
      <c r="F159" s="8">
        <v>2</v>
      </c>
      <c r="G159" s="8">
        <v>0.1</v>
      </c>
      <c r="H159" s="9">
        <v>45674</v>
      </c>
      <c r="I159" s="8">
        <v>484.35</v>
      </c>
    </row>
    <row r="160" spans="1:9" x14ac:dyDescent="0.25">
      <c r="A160" s="8" t="s">
        <v>44</v>
      </c>
      <c r="B160" s="8" t="s">
        <v>31</v>
      </c>
      <c r="C160" s="8" t="s">
        <v>34</v>
      </c>
      <c r="D160" s="8" t="s">
        <v>39</v>
      </c>
      <c r="E160" s="8">
        <v>1250.71</v>
      </c>
      <c r="F160" s="8">
        <v>7</v>
      </c>
      <c r="G160" s="8">
        <v>0</v>
      </c>
      <c r="H160" s="9">
        <v>45674</v>
      </c>
      <c r="I160" s="8">
        <v>562.82000000000005</v>
      </c>
    </row>
    <row r="161" spans="1:9" x14ac:dyDescent="0.25">
      <c r="A161" s="8" t="s">
        <v>40</v>
      </c>
      <c r="B161" s="8" t="s">
        <v>17</v>
      </c>
      <c r="C161" s="8" t="s">
        <v>20</v>
      </c>
      <c r="D161" s="8" t="s">
        <v>15</v>
      </c>
      <c r="E161" s="8">
        <v>1118.3399999999999</v>
      </c>
      <c r="F161" s="8">
        <v>6</v>
      </c>
      <c r="G161" s="8">
        <v>0.2</v>
      </c>
      <c r="H161" s="9">
        <v>45674</v>
      </c>
      <c r="I161" s="8">
        <v>447.34</v>
      </c>
    </row>
    <row r="162" spans="1:9" x14ac:dyDescent="0.25">
      <c r="A162" s="8" t="s">
        <v>70</v>
      </c>
      <c r="B162" s="8" t="s">
        <v>53</v>
      </c>
      <c r="C162" s="8" t="s">
        <v>24</v>
      </c>
      <c r="D162" s="8" t="s">
        <v>15</v>
      </c>
      <c r="E162" s="8">
        <v>1622.62</v>
      </c>
      <c r="F162" s="8">
        <v>12</v>
      </c>
      <c r="G162" s="8">
        <v>0.2</v>
      </c>
      <c r="H162" s="9">
        <v>45677</v>
      </c>
      <c r="I162" s="8">
        <v>649.04999999999995</v>
      </c>
    </row>
    <row r="163" spans="1:9" x14ac:dyDescent="0.25">
      <c r="A163" s="8" t="s">
        <v>75</v>
      </c>
      <c r="B163" s="8" t="s">
        <v>48</v>
      </c>
      <c r="C163" s="8" t="s">
        <v>24</v>
      </c>
      <c r="D163" s="8" t="s">
        <v>12</v>
      </c>
      <c r="E163" s="8">
        <v>640.64</v>
      </c>
      <c r="F163" s="8">
        <v>11</v>
      </c>
      <c r="G163" s="8">
        <v>0.2</v>
      </c>
      <c r="H163" s="9">
        <v>45678</v>
      </c>
      <c r="I163" s="8">
        <v>205</v>
      </c>
    </row>
    <row r="164" spans="1:9" x14ac:dyDescent="0.25">
      <c r="A164" s="8" t="s">
        <v>22</v>
      </c>
      <c r="B164" s="8" t="s">
        <v>43</v>
      </c>
      <c r="C164" s="8" t="s">
        <v>11</v>
      </c>
      <c r="D164" s="8" t="s">
        <v>15</v>
      </c>
      <c r="E164" s="8">
        <v>585.16</v>
      </c>
      <c r="F164" s="8">
        <v>17</v>
      </c>
      <c r="G164" s="8">
        <v>0.1</v>
      </c>
      <c r="H164" s="9">
        <v>45684</v>
      </c>
      <c r="I164" s="8">
        <v>263.32</v>
      </c>
    </row>
    <row r="165" spans="1:9" x14ac:dyDescent="0.25">
      <c r="A165" s="8" t="s">
        <v>22</v>
      </c>
      <c r="B165" s="8" t="s">
        <v>31</v>
      </c>
      <c r="C165" s="8" t="s">
        <v>18</v>
      </c>
      <c r="D165" s="8" t="s">
        <v>15</v>
      </c>
      <c r="E165" s="8">
        <v>1109.98</v>
      </c>
      <c r="F165" s="8">
        <v>5</v>
      </c>
      <c r="G165" s="8">
        <v>0.2</v>
      </c>
      <c r="H165" s="9">
        <v>45690</v>
      </c>
      <c r="I165" s="8">
        <v>443.99</v>
      </c>
    </row>
    <row r="166" spans="1:9" x14ac:dyDescent="0.25">
      <c r="A166" s="8" t="s">
        <v>58</v>
      </c>
      <c r="B166" s="8" t="s">
        <v>45</v>
      </c>
      <c r="C166" s="8" t="s">
        <v>18</v>
      </c>
      <c r="D166" s="8" t="s">
        <v>12</v>
      </c>
      <c r="E166" s="8">
        <v>1098.08</v>
      </c>
      <c r="F166" s="8">
        <v>9</v>
      </c>
      <c r="G166" s="8">
        <v>0.1</v>
      </c>
      <c r="H166" s="9">
        <v>45692</v>
      </c>
      <c r="I166" s="8">
        <v>395.31</v>
      </c>
    </row>
    <row r="167" spans="1:9" x14ac:dyDescent="0.25">
      <c r="A167" s="8" t="s">
        <v>65</v>
      </c>
      <c r="B167" s="8" t="s">
        <v>48</v>
      </c>
      <c r="C167" s="8" t="s">
        <v>11</v>
      </c>
      <c r="D167" s="8" t="s">
        <v>39</v>
      </c>
      <c r="E167" s="8">
        <v>827.25</v>
      </c>
      <c r="F167" s="8">
        <v>7</v>
      </c>
      <c r="G167" s="8">
        <v>0.1</v>
      </c>
      <c r="H167" s="9">
        <v>45693</v>
      </c>
      <c r="I167" s="8">
        <v>335.04</v>
      </c>
    </row>
    <row r="168" spans="1:9" x14ac:dyDescent="0.25">
      <c r="A168" s="8" t="s">
        <v>70</v>
      </c>
      <c r="B168" s="8" t="s">
        <v>29</v>
      </c>
      <c r="C168" s="8" t="s">
        <v>34</v>
      </c>
      <c r="D168" s="8" t="s">
        <v>15</v>
      </c>
      <c r="E168" s="8">
        <v>741.88</v>
      </c>
      <c r="F168" s="8">
        <v>16</v>
      </c>
      <c r="G168" s="8">
        <v>0.1</v>
      </c>
      <c r="H168" s="9">
        <v>45695</v>
      </c>
      <c r="I168" s="8">
        <v>333.85</v>
      </c>
    </row>
    <row r="169" spans="1:9" x14ac:dyDescent="0.25">
      <c r="A169" s="8" t="s">
        <v>72</v>
      </c>
      <c r="B169" s="8" t="s">
        <v>10</v>
      </c>
      <c r="C169" s="8" t="s">
        <v>18</v>
      </c>
      <c r="D169" s="8" t="s">
        <v>39</v>
      </c>
      <c r="E169" s="8">
        <v>1311.26</v>
      </c>
      <c r="F169" s="8">
        <v>6</v>
      </c>
      <c r="G169" s="8">
        <v>0.1</v>
      </c>
      <c r="H169" s="9">
        <v>45698</v>
      </c>
      <c r="I169" s="8">
        <v>531.05999999999995</v>
      </c>
    </row>
    <row r="170" spans="1:9" x14ac:dyDescent="0.25">
      <c r="A170" s="8" t="s">
        <v>72</v>
      </c>
      <c r="B170" s="8" t="s">
        <v>31</v>
      </c>
      <c r="C170" s="8" t="s">
        <v>20</v>
      </c>
      <c r="D170" s="8" t="s">
        <v>39</v>
      </c>
      <c r="E170" s="8">
        <v>573.32000000000005</v>
      </c>
      <c r="F170" s="8">
        <v>19</v>
      </c>
      <c r="G170" s="8">
        <v>0.1</v>
      </c>
      <c r="H170" s="9">
        <v>45703</v>
      </c>
      <c r="I170" s="8">
        <v>232.19</v>
      </c>
    </row>
    <row r="171" spans="1:9" x14ac:dyDescent="0.25">
      <c r="A171" s="8" t="s">
        <v>52</v>
      </c>
      <c r="B171" s="8" t="s">
        <v>23</v>
      </c>
      <c r="C171" s="8" t="s">
        <v>11</v>
      </c>
      <c r="D171" s="8" t="s">
        <v>21</v>
      </c>
      <c r="E171" s="8">
        <v>1115.22</v>
      </c>
      <c r="F171" s="8">
        <v>14</v>
      </c>
      <c r="G171" s="8">
        <v>0.2</v>
      </c>
      <c r="H171" s="9">
        <v>45705</v>
      </c>
      <c r="I171" s="8">
        <v>223.04</v>
      </c>
    </row>
    <row r="172" spans="1:9" x14ac:dyDescent="0.25">
      <c r="A172" s="8" t="s">
        <v>13</v>
      </c>
      <c r="B172" s="8" t="s">
        <v>45</v>
      </c>
      <c r="C172" s="8" t="s">
        <v>24</v>
      </c>
      <c r="D172" s="8" t="s">
        <v>15</v>
      </c>
      <c r="E172" s="8">
        <v>845.84</v>
      </c>
      <c r="F172" s="8">
        <v>4</v>
      </c>
      <c r="G172" s="8">
        <v>0</v>
      </c>
      <c r="H172" s="9">
        <v>45707</v>
      </c>
      <c r="I172" s="8">
        <v>422.92</v>
      </c>
    </row>
    <row r="173" spans="1:9" x14ac:dyDescent="0.25">
      <c r="A173" s="8" t="s">
        <v>30</v>
      </c>
      <c r="B173" s="8" t="s">
        <v>55</v>
      </c>
      <c r="C173" s="8" t="s">
        <v>11</v>
      </c>
      <c r="D173" s="8" t="s">
        <v>21</v>
      </c>
      <c r="E173" s="8">
        <v>1029.8</v>
      </c>
      <c r="F173" s="8">
        <v>3</v>
      </c>
      <c r="G173" s="8">
        <v>0</v>
      </c>
      <c r="H173" s="9">
        <v>45708</v>
      </c>
      <c r="I173" s="8">
        <v>257.45</v>
      </c>
    </row>
    <row r="174" spans="1:9" x14ac:dyDescent="0.25">
      <c r="A174" s="8" t="s">
        <v>32</v>
      </c>
      <c r="B174" s="8" t="s">
        <v>31</v>
      </c>
      <c r="C174" s="8" t="s">
        <v>24</v>
      </c>
      <c r="D174" s="8" t="s">
        <v>12</v>
      </c>
      <c r="E174" s="8">
        <v>1189.83</v>
      </c>
      <c r="F174" s="8">
        <v>2</v>
      </c>
      <c r="G174" s="8">
        <v>0.2</v>
      </c>
      <c r="H174" s="9">
        <v>45709</v>
      </c>
      <c r="I174" s="8">
        <v>380.75</v>
      </c>
    </row>
    <row r="175" spans="1:9" x14ac:dyDescent="0.25">
      <c r="A175" s="8" t="s">
        <v>67</v>
      </c>
      <c r="B175" s="8" t="s">
        <v>43</v>
      </c>
      <c r="C175" s="8" t="s">
        <v>20</v>
      </c>
      <c r="D175" s="8" t="s">
        <v>12</v>
      </c>
      <c r="E175" s="8">
        <v>704.28</v>
      </c>
      <c r="F175" s="8">
        <v>15</v>
      </c>
      <c r="G175" s="8">
        <v>0.2</v>
      </c>
      <c r="H175" s="9">
        <v>45712</v>
      </c>
      <c r="I175" s="8">
        <v>225.37</v>
      </c>
    </row>
    <row r="176" spans="1:9" x14ac:dyDescent="0.25">
      <c r="A176" s="8" t="s">
        <v>65</v>
      </c>
      <c r="B176" s="8" t="s">
        <v>47</v>
      </c>
      <c r="C176" s="8" t="s">
        <v>34</v>
      </c>
      <c r="D176" s="8" t="s">
        <v>39</v>
      </c>
      <c r="E176" s="8">
        <v>1618.22</v>
      </c>
      <c r="F176" s="8">
        <v>12</v>
      </c>
      <c r="G176" s="8">
        <v>0.2</v>
      </c>
      <c r="H176" s="9">
        <v>45712</v>
      </c>
      <c r="I176" s="8">
        <v>582.55999999999995</v>
      </c>
    </row>
    <row r="177" spans="1:9" x14ac:dyDescent="0.25">
      <c r="A177" s="8" t="s">
        <v>73</v>
      </c>
      <c r="B177" s="8" t="s">
        <v>53</v>
      </c>
      <c r="C177" s="8" t="s">
        <v>34</v>
      </c>
      <c r="D177" s="8" t="s">
        <v>12</v>
      </c>
      <c r="E177" s="8">
        <v>1014.43</v>
      </c>
      <c r="F177" s="8">
        <v>2</v>
      </c>
      <c r="G177" s="8">
        <v>0.15</v>
      </c>
      <c r="H177" s="9">
        <v>45713</v>
      </c>
      <c r="I177" s="8">
        <v>344.91</v>
      </c>
    </row>
    <row r="178" spans="1:9" x14ac:dyDescent="0.25">
      <c r="A178" s="8" t="s">
        <v>75</v>
      </c>
      <c r="B178" s="8" t="s">
        <v>31</v>
      </c>
      <c r="C178" s="8" t="s">
        <v>34</v>
      </c>
      <c r="D178" s="8" t="s">
        <v>15</v>
      </c>
      <c r="E178" s="8">
        <v>826.97</v>
      </c>
      <c r="F178" s="8">
        <v>18</v>
      </c>
      <c r="G178" s="8">
        <v>0.2</v>
      </c>
      <c r="H178" s="9">
        <v>45715</v>
      </c>
      <c r="I178" s="8">
        <v>330.79</v>
      </c>
    </row>
    <row r="179" spans="1:9" x14ac:dyDescent="0.25">
      <c r="A179" s="8" t="s">
        <v>16</v>
      </c>
      <c r="B179" s="8" t="s">
        <v>31</v>
      </c>
      <c r="C179" s="8" t="s">
        <v>34</v>
      </c>
      <c r="D179" s="8" t="s">
        <v>15</v>
      </c>
      <c r="E179" s="8">
        <v>1022.23</v>
      </c>
      <c r="F179" s="8">
        <v>8</v>
      </c>
      <c r="G179" s="8">
        <v>0.1</v>
      </c>
      <c r="H179" s="9">
        <v>45717</v>
      </c>
      <c r="I179" s="8">
        <v>460</v>
      </c>
    </row>
    <row r="180" spans="1:9" x14ac:dyDescent="0.25">
      <c r="A180" s="8" t="s">
        <v>72</v>
      </c>
      <c r="B180" s="8" t="s">
        <v>29</v>
      </c>
      <c r="C180" s="8" t="s">
        <v>18</v>
      </c>
      <c r="D180" s="8" t="s">
        <v>12</v>
      </c>
      <c r="E180" s="8">
        <v>1099.69</v>
      </c>
      <c r="F180" s="8">
        <v>6</v>
      </c>
      <c r="G180" s="8">
        <v>0</v>
      </c>
      <c r="H180" s="9">
        <v>45718</v>
      </c>
      <c r="I180" s="8">
        <v>439.88</v>
      </c>
    </row>
    <row r="181" spans="1:9" x14ac:dyDescent="0.25">
      <c r="A181" s="8" t="s">
        <v>52</v>
      </c>
      <c r="B181" s="8" t="s">
        <v>64</v>
      </c>
      <c r="C181" s="8" t="s">
        <v>24</v>
      </c>
      <c r="D181" s="8" t="s">
        <v>12</v>
      </c>
      <c r="E181" s="8">
        <v>710.52</v>
      </c>
      <c r="F181" s="8">
        <v>8</v>
      </c>
      <c r="G181" s="8">
        <v>0.1</v>
      </c>
      <c r="H181" s="9">
        <v>45721</v>
      </c>
      <c r="I181" s="8">
        <v>255.79</v>
      </c>
    </row>
    <row r="182" spans="1:9" x14ac:dyDescent="0.25">
      <c r="A182" s="8" t="s">
        <v>52</v>
      </c>
      <c r="B182" s="8" t="s">
        <v>59</v>
      </c>
      <c r="C182" s="8" t="s">
        <v>24</v>
      </c>
      <c r="D182" s="8" t="s">
        <v>12</v>
      </c>
      <c r="E182" s="8">
        <v>499.18</v>
      </c>
      <c r="F182" s="8">
        <v>15</v>
      </c>
      <c r="G182" s="8">
        <v>0.2</v>
      </c>
      <c r="H182" s="9">
        <v>45724</v>
      </c>
      <c r="I182" s="8">
        <v>159.74</v>
      </c>
    </row>
    <row r="183" spans="1:9" x14ac:dyDescent="0.25">
      <c r="A183" s="8" t="s">
        <v>37</v>
      </c>
      <c r="B183" s="8" t="s">
        <v>38</v>
      </c>
      <c r="C183" s="8" t="s">
        <v>20</v>
      </c>
      <c r="D183" s="8" t="s">
        <v>12</v>
      </c>
      <c r="E183" s="8">
        <v>1064.19</v>
      </c>
      <c r="F183" s="8">
        <v>18</v>
      </c>
      <c r="G183" s="8">
        <v>0.05</v>
      </c>
      <c r="H183" s="9">
        <v>45725</v>
      </c>
      <c r="I183" s="8">
        <v>404.39</v>
      </c>
    </row>
    <row r="184" spans="1:9" x14ac:dyDescent="0.25">
      <c r="A184" s="8" t="s">
        <v>67</v>
      </c>
      <c r="B184" s="8" t="s">
        <v>38</v>
      </c>
      <c r="C184" s="8" t="s">
        <v>18</v>
      </c>
      <c r="D184" s="8" t="s">
        <v>39</v>
      </c>
      <c r="E184" s="8">
        <v>438.76</v>
      </c>
      <c r="F184" s="8">
        <v>18</v>
      </c>
      <c r="G184" s="8">
        <v>0.05</v>
      </c>
      <c r="H184" s="9">
        <v>45726</v>
      </c>
      <c r="I184" s="8">
        <v>187.57</v>
      </c>
    </row>
    <row r="185" spans="1:9" x14ac:dyDescent="0.25">
      <c r="A185" s="8" t="s">
        <v>41</v>
      </c>
      <c r="B185" s="8" t="s">
        <v>55</v>
      </c>
      <c r="C185" s="8" t="s">
        <v>11</v>
      </c>
      <c r="D185" s="8" t="s">
        <v>15</v>
      </c>
      <c r="E185" s="8">
        <v>864.98</v>
      </c>
      <c r="F185" s="8">
        <v>2</v>
      </c>
      <c r="G185" s="8">
        <v>0.05</v>
      </c>
      <c r="H185" s="9">
        <v>45727</v>
      </c>
      <c r="I185" s="8">
        <v>410.87</v>
      </c>
    </row>
    <row r="186" spans="1:9" x14ac:dyDescent="0.25">
      <c r="A186" s="8" t="s">
        <v>57</v>
      </c>
      <c r="B186" s="8" t="s">
        <v>55</v>
      </c>
      <c r="C186" s="8" t="s">
        <v>11</v>
      </c>
      <c r="D186" s="8" t="s">
        <v>27</v>
      </c>
      <c r="E186" s="8">
        <v>984.93</v>
      </c>
      <c r="F186" s="8">
        <v>14</v>
      </c>
      <c r="G186" s="8">
        <v>0.2</v>
      </c>
      <c r="H186" s="9">
        <v>45733</v>
      </c>
      <c r="I186" s="8">
        <v>275.77999999999997</v>
      </c>
    </row>
    <row r="187" spans="1:9" x14ac:dyDescent="0.25">
      <c r="A187" s="8" t="s">
        <v>25</v>
      </c>
      <c r="B187" s="8" t="s">
        <v>55</v>
      </c>
      <c r="C187" s="8" t="s">
        <v>11</v>
      </c>
      <c r="D187" s="8" t="s">
        <v>15</v>
      </c>
      <c r="E187" s="8">
        <v>1493.49</v>
      </c>
      <c r="F187" s="8">
        <v>18</v>
      </c>
      <c r="G187" s="8">
        <v>0</v>
      </c>
      <c r="H187" s="9">
        <v>45734</v>
      </c>
      <c r="I187" s="8">
        <v>746.74</v>
      </c>
    </row>
    <row r="188" spans="1:9" x14ac:dyDescent="0.25">
      <c r="A188" s="8" t="s">
        <v>32</v>
      </c>
      <c r="B188" s="8" t="s">
        <v>53</v>
      </c>
      <c r="C188" s="8" t="s">
        <v>20</v>
      </c>
      <c r="D188" s="8" t="s">
        <v>15</v>
      </c>
      <c r="E188" s="8">
        <v>689.43</v>
      </c>
      <c r="F188" s="8">
        <v>9</v>
      </c>
      <c r="G188" s="8">
        <v>0.1</v>
      </c>
      <c r="H188" s="9">
        <v>45736</v>
      </c>
      <c r="I188" s="8">
        <v>310.24</v>
      </c>
    </row>
    <row r="189" spans="1:9" x14ac:dyDescent="0.25">
      <c r="A189" s="8" t="s">
        <v>40</v>
      </c>
      <c r="B189" s="8" t="s">
        <v>59</v>
      </c>
      <c r="C189" s="8" t="s">
        <v>20</v>
      </c>
      <c r="D189" s="8" t="s">
        <v>15</v>
      </c>
      <c r="E189" s="8">
        <v>682.24</v>
      </c>
      <c r="F189" s="8">
        <v>1</v>
      </c>
      <c r="G189" s="8">
        <v>0</v>
      </c>
      <c r="H189" s="9">
        <v>45738</v>
      </c>
      <c r="I189" s="8">
        <v>341.12</v>
      </c>
    </row>
    <row r="190" spans="1:9" x14ac:dyDescent="0.25">
      <c r="A190" s="8" t="s">
        <v>41</v>
      </c>
      <c r="B190" s="8" t="s">
        <v>26</v>
      </c>
      <c r="C190" s="8" t="s">
        <v>24</v>
      </c>
      <c r="D190" s="8" t="s">
        <v>21</v>
      </c>
      <c r="E190" s="8">
        <v>458.54</v>
      </c>
      <c r="F190" s="8">
        <v>15</v>
      </c>
      <c r="G190" s="8">
        <v>0.2</v>
      </c>
      <c r="H190" s="9">
        <v>45741</v>
      </c>
      <c r="I190" s="8">
        <v>91.71</v>
      </c>
    </row>
    <row r="191" spans="1:9" x14ac:dyDescent="0.25">
      <c r="A191" s="8" t="s">
        <v>32</v>
      </c>
      <c r="B191" s="8" t="s">
        <v>26</v>
      </c>
      <c r="C191" s="8" t="s">
        <v>20</v>
      </c>
      <c r="D191" s="8" t="s">
        <v>27</v>
      </c>
      <c r="E191" s="8">
        <v>1184.25</v>
      </c>
      <c r="F191" s="8">
        <v>11</v>
      </c>
      <c r="G191" s="8">
        <v>0.2</v>
      </c>
      <c r="H191" s="9">
        <v>45742</v>
      </c>
      <c r="I191" s="8">
        <v>331.59</v>
      </c>
    </row>
    <row r="192" spans="1:9" x14ac:dyDescent="0.25">
      <c r="A192" s="8" t="s">
        <v>25</v>
      </c>
      <c r="B192" s="8" t="s">
        <v>10</v>
      </c>
      <c r="C192" s="8" t="s">
        <v>20</v>
      </c>
      <c r="D192" s="8" t="s">
        <v>15</v>
      </c>
      <c r="E192" s="8">
        <v>762.14</v>
      </c>
      <c r="F192" s="8">
        <v>9</v>
      </c>
      <c r="G192" s="8">
        <v>0</v>
      </c>
      <c r="H192" s="9">
        <v>45743</v>
      </c>
      <c r="I192" s="8">
        <v>381.07</v>
      </c>
    </row>
    <row r="193" spans="1:9" x14ac:dyDescent="0.25">
      <c r="A193" s="8" t="s">
        <v>22</v>
      </c>
      <c r="B193" s="8" t="s">
        <v>53</v>
      </c>
      <c r="C193" s="8" t="s">
        <v>24</v>
      </c>
      <c r="D193" s="8" t="s">
        <v>12</v>
      </c>
      <c r="E193" s="8">
        <v>750.71</v>
      </c>
      <c r="F193" s="8">
        <v>10</v>
      </c>
      <c r="G193" s="8">
        <v>0.15</v>
      </c>
      <c r="H193" s="9">
        <v>45743</v>
      </c>
      <c r="I193" s="8">
        <v>255.24</v>
      </c>
    </row>
    <row r="194" spans="1:9" x14ac:dyDescent="0.25">
      <c r="A194" s="8" t="s">
        <v>75</v>
      </c>
      <c r="B194" s="8" t="s">
        <v>71</v>
      </c>
      <c r="C194" s="8" t="s">
        <v>34</v>
      </c>
      <c r="D194" s="8" t="s">
        <v>15</v>
      </c>
      <c r="E194" s="8">
        <v>1456.94</v>
      </c>
      <c r="F194" s="8">
        <v>14</v>
      </c>
      <c r="G194" s="8">
        <v>0.05</v>
      </c>
      <c r="H194" s="9">
        <v>45745</v>
      </c>
      <c r="I194" s="8">
        <v>692.05</v>
      </c>
    </row>
    <row r="195" spans="1:9" x14ac:dyDescent="0.25">
      <c r="A195" s="8" t="s">
        <v>44</v>
      </c>
      <c r="B195" s="8" t="s">
        <v>61</v>
      </c>
      <c r="C195" s="8" t="s">
        <v>18</v>
      </c>
      <c r="D195" s="8" t="s">
        <v>27</v>
      </c>
      <c r="E195" s="8">
        <v>1093.3800000000001</v>
      </c>
      <c r="F195" s="8">
        <v>17</v>
      </c>
      <c r="G195" s="8">
        <v>0.1</v>
      </c>
      <c r="H195" s="9">
        <v>45745</v>
      </c>
      <c r="I195" s="8">
        <v>344.41</v>
      </c>
    </row>
    <row r="196" spans="1:9" x14ac:dyDescent="0.25">
      <c r="A196" s="8" t="s">
        <v>37</v>
      </c>
      <c r="B196" s="8" t="s">
        <v>43</v>
      </c>
      <c r="C196" s="8" t="s">
        <v>11</v>
      </c>
      <c r="D196" s="8" t="s">
        <v>15</v>
      </c>
      <c r="E196" s="8">
        <v>934.27</v>
      </c>
      <c r="F196" s="8">
        <v>8</v>
      </c>
      <c r="G196" s="8">
        <v>0.15</v>
      </c>
      <c r="H196" s="9">
        <v>45746</v>
      </c>
      <c r="I196" s="8">
        <v>397.06</v>
      </c>
    </row>
    <row r="197" spans="1:9" x14ac:dyDescent="0.25">
      <c r="A197" s="8" t="s">
        <v>70</v>
      </c>
      <c r="B197" s="8" t="s">
        <v>36</v>
      </c>
      <c r="C197" s="8" t="s">
        <v>34</v>
      </c>
      <c r="D197" s="8" t="s">
        <v>15</v>
      </c>
      <c r="E197" s="8">
        <v>1465.35</v>
      </c>
      <c r="F197" s="8">
        <v>8</v>
      </c>
      <c r="G197" s="8">
        <v>0.2</v>
      </c>
      <c r="H197" s="9">
        <v>45746</v>
      </c>
      <c r="I197" s="8">
        <v>586.14</v>
      </c>
    </row>
    <row r="198" spans="1:9" x14ac:dyDescent="0.25">
      <c r="A198" s="8" t="s">
        <v>52</v>
      </c>
      <c r="B198" s="8" t="s">
        <v>14</v>
      </c>
      <c r="C198" s="8" t="s">
        <v>20</v>
      </c>
      <c r="D198" s="8" t="s">
        <v>39</v>
      </c>
      <c r="E198" s="8">
        <v>740.8</v>
      </c>
      <c r="F198" s="8">
        <v>3</v>
      </c>
      <c r="G198" s="8">
        <v>0</v>
      </c>
      <c r="H198" s="9">
        <v>45749</v>
      </c>
      <c r="I198" s="8">
        <v>333.36</v>
      </c>
    </row>
    <row r="199" spans="1:9" x14ac:dyDescent="0.25">
      <c r="A199" s="8" t="s">
        <v>58</v>
      </c>
      <c r="B199" s="8" t="s">
        <v>43</v>
      </c>
      <c r="C199" s="8" t="s">
        <v>11</v>
      </c>
      <c r="D199" s="8" t="s">
        <v>39</v>
      </c>
      <c r="E199" s="8">
        <v>545.44000000000005</v>
      </c>
      <c r="F199" s="8">
        <v>17</v>
      </c>
      <c r="G199" s="8">
        <v>0</v>
      </c>
      <c r="H199" s="9">
        <v>45752</v>
      </c>
      <c r="I199" s="8">
        <v>245.45</v>
      </c>
    </row>
    <row r="200" spans="1:9" x14ac:dyDescent="0.25">
      <c r="A200" s="8" t="s">
        <v>35</v>
      </c>
      <c r="B200" s="8" t="s">
        <v>36</v>
      </c>
      <c r="C200" s="8" t="s">
        <v>18</v>
      </c>
      <c r="D200" s="8" t="s">
        <v>12</v>
      </c>
      <c r="E200" s="8">
        <v>997.61</v>
      </c>
      <c r="F200" s="8">
        <v>8</v>
      </c>
      <c r="G200" s="8">
        <v>0.05</v>
      </c>
      <c r="H200" s="9">
        <v>45752</v>
      </c>
      <c r="I200" s="8">
        <v>379.09</v>
      </c>
    </row>
    <row r="201" spans="1:9" x14ac:dyDescent="0.25">
      <c r="A201" s="8" t="s">
        <v>60</v>
      </c>
      <c r="B201" s="8" t="s">
        <v>36</v>
      </c>
      <c r="C201" s="8" t="s">
        <v>20</v>
      </c>
      <c r="D201" s="8" t="s">
        <v>15</v>
      </c>
      <c r="E201" s="8">
        <v>928.32</v>
      </c>
      <c r="F201" s="8">
        <v>2</v>
      </c>
      <c r="G201" s="8">
        <v>0.05</v>
      </c>
      <c r="H201" s="9">
        <v>45754</v>
      </c>
      <c r="I201" s="8">
        <v>440.95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E380-1771-4289-AA62-F389AD82B1DB}">
  <dimension ref="A1:M138"/>
  <sheetViews>
    <sheetView tabSelected="1" topLeftCell="B1" workbookViewId="0">
      <selection activeCell="Q10" sqref="Q10"/>
    </sheetView>
  </sheetViews>
  <sheetFormatPr defaultRowHeight="15" x14ac:dyDescent="0.25"/>
  <cols>
    <col min="1" max="1" width="17.7109375" bestFit="1" customWidth="1"/>
    <col min="2" max="2" width="23" customWidth="1"/>
    <col min="3" max="3" width="19.140625" customWidth="1"/>
    <col min="4" max="4" width="26" customWidth="1"/>
    <col min="5" max="5" width="19.140625" customWidth="1"/>
    <col min="6" max="6" width="15" bestFit="1" customWidth="1"/>
    <col min="7" max="7" width="18.85546875" customWidth="1"/>
    <col min="8" max="8" width="13.42578125" customWidth="1"/>
    <col min="9" max="9" width="15.42578125" customWidth="1"/>
    <col min="10" max="10" width="17.85546875" customWidth="1"/>
    <col min="11" max="11" width="17.140625" customWidth="1"/>
    <col min="12" max="12" width="24.140625" customWidth="1"/>
  </cols>
  <sheetData>
    <row r="1" spans="1:12" x14ac:dyDescent="0.25">
      <c r="A1" s="29">
        <v>1</v>
      </c>
      <c r="B1" s="58" t="s">
        <v>128</v>
      </c>
      <c r="C1" s="59"/>
      <c r="D1" s="59"/>
      <c r="E1" s="60"/>
      <c r="F1" s="28"/>
      <c r="G1" s="28"/>
    </row>
    <row r="2" spans="1:12" x14ac:dyDescent="0.25">
      <c r="A2" s="29">
        <v>6</v>
      </c>
      <c r="B2" s="58" t="s">
        <v>129</v>
      </c>
      <c r="C2" s="59"/>
      <c r="D2" s="59"/>
      <c r="E2" s="60"/>
    </row>
    <row r="5" spans="1:12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126</v>
      </c>
      <c r="I5" s="1" t="s">
        <v>7</v>
      </c>
      <c r="J5" s="1" t="s">
        <v>8</v>
      </c>
      <c r="K5" s="5" t="s">
        <v>76</v>
      </c>
      <c r="L5" s="5" t="s">
        <v>127</v>
      </c>
    </row>
    <row r="6" spans="1:12" x14ac:dyDescent="0.25">
      <c r="A6" s="2" t="s">
        <v>28</v>
      </c>
      <c r="B6" s="2" t="s">
        <v>29</v>
      </c>
      <c r="C6" s="2" t="s">
        <v>11</v>
      </c>
      <c r="D6" s="2" t="s">
        <v>21</v>
      </c>
      <c r="E6" s="2">
        <v>1317.53</v>
      </c>
      <c r="F6" s="2">
        <v>12</v>
      </c>
      <c r="G6" s="4">
        <v>0.05</v>
      </c>
      <c r="H6" s="4" t="str">
        <f>TEXT(I6,"mmm")</f>
        <v>Apr</v>
      </c>
      <c r="I6" s="3">
        <v>45398</v>
      </c>
      <c r="J6" s="2">
        <v>312.91000000000003</v>
      </c>
      <c r="K6" s="16">
        <f>E6*F6*(1-G6)</f>
        <v>15019.842000000001</v>
      </c>
      <c r="L6" s="27">
        <f ca="1">NOW()</f>
        <v>46302.330231597225</v>
      </c>
    </row>
    <row r="7" spans="1:12" x14ac:dyDescent="0.25">
      <c r="A7" s="2" t="s">
        <v>65</v>
      </c>
      <c r="B7" s="2" t="s">
        <v>48</v>
      </c>
      <c r="C7" s="2" t="s">
        <v>11</v>
      </c>
      <c r="D7" s="2" t="s">
        <v>12</v>
      </c>
      <c r="E7" s="2">
        <v>942.9</v>
      </c>
      <c r="F7" s="2">
        <v>18</v>
      </c>
      <c r="G7" s="4">
        <v>0.1</v>
      </c>
      <c r="H7" s="4" t="str">
        <f t="shared" ref="H7:H35" si="0">TEXT(I7,"mmm")</f>
        <v>Jun</v>
      </c>
      <c r="I7" s="3">
        <v>45466</v>
      </c>
      <c r="J7" s="2">
        <v>339.44</v>
      </c>
      <c r="K7" s="16">
        <f t="shared" ref="K7:K35" si="1">E7*F7*(1-G7)</f>
        <v>15274.980000000001</v>
      </c>
      <c r="L7" s="27">
        <f t="shared" ref="L7:L35" ca="1" si="2">NOW()</f>
        <v>46302.330231597225</v>
      </c>
    </row>
    <row r="8" spans="1:12" x14ac:dyDescent="0.25">
      <c r="A8" s="2" t="s">
        <v>67</v>
      </c>
      <c r="B8" s="2" t="s">
        <v>38</v>
      </c>
      <c r="C8" s="2" t="s">
        <v>24</v>
      </c>
      <c r="D8" s="2" t="s">
        <v>12</v>
      </c>
      <c r="E8" s="2">
        <v>1248.82</v>
      </c>
      <c r="F8" s="2">
        <v>2</v>
      </c>
      <c r="G8" s="4">
        <v>0.1</v>
      </c>
      <c r="H8" s="4" t="str">
        <f t="shared" si="0"/>
        <v>Jun</v>
      </c>
      <c r="I8" s="3">
        <v>45473</v>
      </c>
      <c r="J8" s="2">
        <v>449.58</v>
      </c>
      <c r="K8" s="16">
        <f t="shared" si="1"/>
        <v>2247.8759999999997</v>
      </c>
      <c r="L8" s="27">
        <f t="shared" ca="1" si="2"/>
        <v>46302.330231597225</v>
      </c>
    </row>
    <row r="9" spans="1:12" x14ac:dyDescent="0.25">
      <c r="A9" s="2" t="s">
        <v>72</v>
      </c>
      <c r="B9" s="2" t="s">
        <v>45</v>
      </c>
      <c r="C9" s="2" t="s">
        <v>24</v>
      </c>
      <c r="D9" s="2" t="s">
        <v>27</v>
      </c>
      <c r="E9" s="2">
        <v>518.07000000000005</v>
      </c>
      <c r="F9" s="2">
        <v>7</v>
      </c>
      <c r="G9" s="4">
        <v>0.05</v>
      </c>
      <c r="H9" s="4" t="str">
        <f t="shared" si="0"/>
        <v>Aug</v>
      </c>
      <c r="I9" s="3">
        <v>45522</v>
      </c>
      <c r="J9" s="2">
        <v>172.26</v>
      </c>
      <c r="K9" s="16">
        <f t="shared" si="1"/>
        <v>3445.1655000000001</v>
      </c>
      <c r="L9" s="27">
        <f t="shared" ca="1" si="2"/>
        <v>46302.330231597225</v>
      </c>
    </row>
    <row r="10" spans="1:12" x14ac:dyDescent="0.25">
      <c r="A10" s="2" t="s">
        <v>19</v>
      </c>
      <c r="B10" s="2" t="s">
        <v>14</v>
      </c>
      <c r="C10" s="2" t="s">
        <v>20</v>
      </c>
      <c r="D10" s="2" t="s">
        <v>21</v>
      </c>
      <c r="E10" s="2">
        <v>760.93</v>
      </c>
      <c r="F10" s="2">
        <v>4</v>
      </c>
      <c r="G10" s="4">
        <v>0.15</v>
      </c>
      <c r="H10" s="4" t="str">
        <f t="shared" si="0"/>
        <v>Apr</v>
      </c>
      <c r="I10" s="3">
        <v>45396</v>
      </c>
      <c r="J10" s="2">
        <v>161.69999999999999</v>
      </c>
      <c r="K10" s="16">
        <f t="shared" si="1"/>
        <v>2587.1619999999998</v>
      </c>
      <c r="L10" s="27">
        <f t="shared" ca="1" si="2"/>
        <v>46302.330231597225</v>
      </c>
    </row>
    <row r="11" spans="1:12" x14ac:dyDescent="0.25">
      <c r="A11" s="2" t="s">
        <v>46</v>
      </c>
      <c r="B11" s="2" t="s">
        <v>47</v>
      </c>
      <c r="C11" s="2" t="s">
        <v>11</v>
      </c>
      <c r="D11" s="2" t="s">
        <v>12</v>
      </c>
      <c r="E11" s="2">
        <v>1506.14</v>
      </c>
      <c r="F11" s="2">
        <v>13</v>
      </c>
      <c r="G11" s="4">
        <v>0.2</v>
      </c>
      <c r="H11" s="4" t="str">
        <f t="shared" si="0"/>
        <v>Apr</v>
      </c>
      <c r="I11" s="3">
        <v>45412</v>
      </c>
      <c r="J11" s="2">
        <v>481.96</v>
      </c>
      <c r="K11" s="16">
        <f t="shared" si="1"/>
        <v>15663.856</v>
      </c>
      <c r="L11" s="27">
        <f t="shared" ca="1" si="2"/>
        <v>46302.330231597225</v>
      </c>
    </row>
    <row r="12" spans="1:12" x14ac:dyDescent="0.25">
      <c r="A12" s="2" t="s">
        <v>25</v>
      </c>
      <c r="B12" s="2" t="s">
        <v>26</v>
      </c>
      <c r="C12" s="2" t="s">
        <v>24</v>
      </c>
      <c r="D12" s="2" t="s">
        <v>27</v>
      </c>
      <c r="E12" s="2">
        <v>965.64</v>
      </c>
      <c r="F12" s="2">
        <v>8</v>
      </c>
      <c r="G12" s="4">
        <v>0.1</v>
      </c>
      <c r="H12" s="4" t="str">
        <f t="shared" si="0"/>
        <v>Apr</v>
      </c>
      <c r="I12" s="3">
        <v>45398</v>
      </c>
      <c r="J12" s="2">
        <v>304.18</v>
      </c>
      <c r="K12" s="16">
        <f t="shared" si="1"/>
        <v>6952.6080000000002</v>
      </c>
      <c r="L12" s="27">
        <f t="shared" ca="1" si="2"/>
        <v>46302.330231597225</v>
      </c>
    </row>
    <row r="13" spans="1:12" x14ac:dyDescent="0.25">
      <c r="A13" s="2" t="s">
        <v>44</v>
      </c>
      <c r="B13" s="2" t="s">
        <v>14</v>
      </c>
      <c r="C13" s="2" t="s">
        <v>20</v>
      </c>
      <c r="D13" s="2" t="s">
        <v>12</v>
      </c>
      <c r="E13" s="2">
        <v>877.58</v>
      </c>
      <c r="F13" s="2">
        <v>10</v>
      </c>
      <c r="G13" s="4">
        <v>0.15</v>
      </c>
      <c r="H13" s="4" t="str">
        <f t="shared" si="0"/>
        <v>Apr</v>
      </c>
      <c r="I13" s="3">
        <v>45411</v>
      </c>
      <c r="J13" s="2">
        <v>298.38</v>
      </c>
      <c r="K13" s="16">
        <f t="shared" si="1"/>
        <v>7459.43</v>
      </c>
      <c r="L13" s="27">
        <f t="shared" ca="1" si="2"/>
        <v>46302.330231597225</v>
      </c>
    </row>
    <row r="14" spans="1:12" x14ac:dyDescent="0.25">
      <c r="A14" s="2" t="s">
        <v>32</v>
      </c>
      <c r="B14" s="2" t="s">
        <v>33</v>
      </c>
      <c r="C14" s="2" t="s">
        <v>34</v>
      </c>
      <c r="D14" s="2" t="s">
        <v>12</v>
      </c>
      <c r="E14" s="2">
        <v>501.54</v>
      </c>
      <c r="F14" s="2">
        <v>11</v>
      </c>
      <c r="G14" s="4">
        <v>0.05</v>
      </c>
      <c r="H14" s="4" t="str">
        <f t="shared" si="0"/>
        <v>Apr</v>
      </c>
      <c r="I14" s="3">
        <v>45401</v>
      </c>
      <c r="J14" s="2">
        <v>190.59</v>
      </c>
      <c r="K14" s="16">
        <f t="shared" si="1"/>
        <v>5241.0929999999998</v>
      </c>
      <c r="L14" s="27">
        <f t="shared" ca="1" si="2"/>
        <v>46302.330231597225</v>
      </c>
    </row>
    <row r="15" spans="1:12" x14ac:dyDescent="0.25">
      <c r="A15" s="2" t="s">
        <v>35</v>
      </c>
      <c r="B15" s="2" t="s">
        <v>36</v>
      </c>
      <c r="C15" s="2" t="s">
        <v>34</v>
      </c>
      <c r="D15" s="2" t="s">
        <v>15</v>
      </c>
      <c r="E15" s="2">
        <v>737.31</v>
      </c>
      <c r="F15" s="2">
        <v>2</v>
      </c>
      <c r="G15" s="4">
        <v>0.05</v>
      </c>
      <c r="H15" s="4" t="str">
        <f t="shared" si="0"/>
        <v>Apr</v>
      </c>
      <c r="I15" s="3">
        <v>45401</v>
      </c>
      <c r="J15" s="2">
        <v>350.22</v>
      </c>
      <c r="K15" s="16">
        <f t="shared" si="1"/>
        <v>1400.8889999999999</v>
      </c>
      <c r="L15" s="27">
        <f t="shared" ca="1" si="2"/>
        <v>46302.330231597225</v>
      </c>
    </row>
    <row r="16" spans="1:12" x14ac:dyDescent="0.25">
      <c r="A16" s="2" t="s">
        <v>63</v>
      </c>
      <c r="B16" s="2" t="s">
        <v>31</v>
      </c>
      <c r="C16" s="2" t="s">
        <v>24</v>
      </c>
      <c r="D16" s="2" t="s">
        <v>39</v>
      </c>
      <c r="E16" s="2">
        <v>1001.57</v>
      </c>
      <c r="F16" s="2">
        <v>12</v>
      </c>
      <c r="G16" s="4">
        <v>0</v>
      </c>
      <c r="H16" s="4" t="str">
        <f t="shared" si="0"/>
        <v>Jun</v>
      </c>
      <c r="I16" s="3">
        <v>45450</v>
      </c>
      <c r="J16" s="2">
        <v>450.71</v>
      </c>
      <c r="K16" s="16">
        <f t="shared" si="1"/>
        <v>12018.84</v>
      </c>
      <c r="L16" s="27">
        <f t="shared" ca="1" si="2"/>
        <v>46302.330231597225</v>
      </c>
    </row>
    <row r="17" spans="1:12" x14ac:dyDescent="0.25">
      <c r="A17" s="2" t="s">
        <v>13</v>
      </c>
      <c r="B17" s="2" t="s">
        <v>14</v>
      </c>
      <c r="C17" s="2" t="s">
        <v>11</v>
      </c>
      <c r="D17" s="2" t="s">
        <v>15</v>
      </c>
      <c r="E17" s="2">
        <v>1101.28</v>
      </c>
      <c r="F17" s="2">
        <v>3</v>
      </c>
      <c r="G17" s="4">
        <v>0.2</v>
      </c>
      <c r="H17" s="4" t="str">
        <f t="shared" si="0"/>
        <v>Apr</v>
      </c>
      <c r="I17" s="3">
        <v>45393</v>
      </c>
      <c r="J17" s="2">
        <v>440.51</v>
      </c>
      <c r="K17" s="16">
        <f t="shared" si="1"/>
        <v>2643.0720000000001</v>
      </c>
      <c r="L17" s="27">
        <f t="shared" ca="1" si="2"/>
        <v>46302.330231597225</v>
      </c>
    </row>
    <row r="18" spans="1:12" x14ac:dyDescent="0.25">
      <c r="A18" s="2" t="s">
        <v>73</v>
      </c>
      <c r="B18" s="2" t="s">
        <v>14</v>
      </c>
      <c r="C18" s="2" t="s">
        <v>20</v>
      </c>
      <c r="D18" s="2" t="s">
        <v>27</v>
      </c>
      <c r="E18" s="2">
        <v>727.73</v>
      </c>
      <c r="F18" s="2">
        <v>1</v>
      </c>
      <c r="G18" s="4">
        <v>0.1</v>
      </c>
      <c r="H18" s="4" t="str">
        <f t="shared" si="0"/>
        <v>Sep</v>
      </c>
      <c r="I18" s="3">
        <v>45552</v>
      </c>
      <c r="J18" s="2">
        <v>229.23</v>
      </c>
      <c r="K18" s="16">
        <f t="shared" si="1"/>
        <v>654.95699999999999</v>
      </c>
      <c r="L18" s="27">
        <f t="shared" ca="1" si="2"/>
        <v>46302.330231597225</v>
      </c>
    </row>
    <row r="19" spans="1:12" x14ac:dyDescent="0.25">
      <c r="A19" s="2" t="s">
        <v>37</v>
      </c>
      <c r="B19" s="2" t="s">
        <v>38</v>
      </c>
      <c r="C19" s="2" t="s">
        <v>11</v>
      </c>
      <c r="D19" s="2" t="s">
        <v>39</v>
      </c>
      <c r="E19" s="2">
        <v>1572.82</v>
      </c>
      <c r="F19" s="2">
        <v>6</v>
      </c>
      <c r="G19" s="4">
        <v>0.05</v>
      </c>
      <c r="H19" s="4" t="str">
        <f t="shared" si="0"/>
        <v>Apr</v>
      </c>
      <c r="I19" s="3">
        <v>45402</v>
      </c>
      <c r="J19" s="2">
        <v>672.38</v>
      </c>
      <c r="K19" s="16">
        <f t="shared" si="1"/>
        <v>8965.0740000000005</v>
      </c>
      <c r="L19" s="27">
        <f t="shared" ca="1" si="2"/>
        <v>46302.330231597225</v>
      </c>
    </row>
    <row r="20" spans="1:12" x14ac:dyDescent="0.25">
      <c r="A20" s="2" t="s">
        <v>58</v>
      </c>
      <c r="B20" s="2" t="s">
        <v>53</v>
      </c>
      <c r="C20" s="2" t="s">
        <v>24</v>
      </c>
      <c r="D20" s="2" t="s">
        <v>39</v>
      </c>
      <c r="E20" s="2">
        <v>1200.9000000000001</v>
      </c>
      <c r="F20" s="2">
        <v>14</v>
      </c>
      <c r="G20" s="4">
        <v>0.05</v>
      </c>
      <c r="H20" s="4" t="str">
        <f t="shared" si="0"/>
        <v>May</v>
      </c>
      <c r="I20" s="3">
        <v>45429</v>
      </c>
      <c r="J20" s="2">
        <v>513.38</v>
      </c>
      <c r="K20" s="16">
        <f t="shared" si="1"/>
        <v>15971.970000000001</v>
      </c>
      <c r="L20" s="27">
        <f t="shared" ca="1" si="2"/>
        <v>46302.330231597225</v>
      </c>
    </row>
    <row r="21" spans="1:12" x14ac:dyDescent="0.25">
      <c r="A21" s="2" t="s">
        <v>60</v>
      </c>
      <c r="B21" s="2" t="s">
        <v>61</v>
      </c>
      <c r="C21" s="2" t="s">
        <v>18</v>
      </c>
      <c r="D21" s="2" t="s">
        <v>12</v>
      </c>
      <c r="E21" s="2">
        <v>580.42999999999995</v>
      </c>
      <c r="F21" s="2">
        <v>19</v>
      </c>
      <c r="G21" s="4">
        <v>0.15</v>
      </c>
      <c r="H21" s="4" t="str">
        <f t="shared" si="0"/>
        <v>May</v>
      </c>
      <c r="I21" s="3">
        <v>45435</v>
      </c>
      <c r="J21" s="2">
        <v>197.35</v>
      </c>
      <c r="K21" s="16">
        <f t="shared" si="1"/>
        <v>9373.9444999999978</v>
      </c>
      <c r="L21" s="27">
        <f t="shared" ca="1" si="2"/>
        <v>46302.330231597225</v>
      </c>
    </row>
    <row r="22" spans="1:12" x14ac:dyDescent="0.25">
      <c r="A22" s="2" t="s">
        <v>16</v>
      </c>
      <c r="B22" s="2" t="s">
        <v>17</v>
      </c>
      <c r="C22" s="2" t="s">
        <v>18</v>
      </c>
      <c r="D22" s="2" t="s">
        <v>12</v>
      </c>
      <c r="E22" s="2">
        <v>713.34</v>
      </c>
      <c r="F22" s="2">
        <v>17</v>
      </c>
      <c r="G22" s="4">
        <v>0</v>
      </c>
      <c r="H22" s="4" t="str">
        <f t="shared" si="0"/>
        <v>Apr</v>
      </c>
      <c r="I22" s="3">
        <v>45396</v>
      </c>
      <c r="J22" s="2">
        <v>285.33999999999997</v>
      </c>
      <c r="K22" s="16">
        <f t="shared" si="1"/>
        <v>12126.78</v>
      </c>
      <c r="L22" s="27">
        <f t="shared" ca="1" si="2"/>
        <v>46302.330231597225</v>
      </c>
    </row>
    <row r="23" spans="1:12" x14ac:dyDescent="0.25">
      <c r="A23" s="2" t="s">
        <v>75</v>
      </c>
      <c r="B23" s="2" t="s">
        <v>47</v>
      </c>
      <c r="C23" s="2" t="s">
        <v>20</v>
      </c>
      <c r="D23" s="2" t="s">
        <v>12</v>
      </c>
      <c r="E23" s="2">
        <v>966.3</v>
      </c>
      <c r="F23" s="2">
        <v>2</v>
      </c>
      <c r="G23" s="4">
        <v>0.15</v>
      </c>
      <c r="H23" s="4" t="str">
        <f t="shared" si="0"/>
        <v>Sep</v>
      </c>
      <c r="I23" s="3">
        <v>45557</v>
      </c>
      <c r="J23" s="2">
        <v>328.54</v>
      </c>
      <c r="K23" s="16">
        <f t="shared" si="1"/>
        <v>1642.7099999999998</v>
      </c>
      <c r="L23" s="27">
        <f t="shared" ca="1" si="2"/>
        <v>46302.330231597225</v>
      </c>
    </row>
    <row r="24" spans="1:12" x14ac:dyDescent="0.25">
      <c r="A24" s="2" t="s">
        <v>9</v>
      </c>
      <c r="B24" s="2" t="s">
        <v>10</v>
      </c>
      <c r="C24" s="2" t="s">
        <v>11</v>
      </c>
      <c r="D24" s="2" t="s">
        <v>12</v>
      </c>
      <c r="E24" s="2">
        <v>1036.0899999999999</v>
      </c>
      <c r="F24" s="2">
        <v>4</v>
      </c>
      <c r="G24" s="4">
        <v>0.2</v>
      </c>
      <c r="H24" s="4" t="str">
        <f t="shared" si="0"/>
        <v>Apr</v>
      </c>
      <c r="I24" s="3">
        <v>45392</v>
      </c>
      <c r="J24" s="2">
        <v>331.55</v>
      </c>
      <c r="K24" s="16">
        <f t="shared" si="1"/>
        <v>3315.4879999999998</v>
      </c>
      <c r="L24" s="27">
        <f t="shared" ca="1" si="2"/>
        <v>46302.330231597225</v>
      </c>
    </row>
    <row r="25" spans="1:12" x14ac:dyDescent="0.25">
      <c r="A25" s="2" t="s">
        <v>68</v>
      </c>
      <c r="B25" s="2" t="s">
        <v>55</v>
      </c>
      <c r="C25" s="2" t="s">
        <v>11</v>
      </c>
      <c r="D25" s="2" t="s">
        <v>27</v>
      </c>
      <c r="E25" s="2">
        <v>1371.34</v>
      </c>
      <c r="F25" s="2">
        <v>5</v>
      </c>
      <c r="G25" s="4">
        <v>0.05</v>
      </c>
      <c r="H25" s="4" t="str">
        <f t="shared" si="0"/>
        <v>Jul</v>
      </c>
      <c r="I25" s="3">
        <v>45488</v>
      </c>
      <c r="J25" s="2">
        <v>455.97</v>
      </c>
      <c r="K25" s="16">
        <f t="shared" si="1"/>
        <v>6513.8649999999998</v>
      </c>
      <c r="L25" s="27">
        <f t="shared" ca="1" si="2"/>
        <v>46302.330231597225</v>
      </c>
    </row>
    <row r="26" spans="1:12" x14ac:dyDescent="0.25">
      <c r="A26" s="2" t="s">
        <v>57</v>
      </c>
      <c r="B26" s="2" t="s">
        <v>43</v>
      </c>
      <c r="C26" s="2" t="s">
        <v>20</v>
      </c>
      <c r="D26" s="2" t="s">
        <v>21</v>
      </c>
      <c r="E26" s="2">
        <v>967.89</v>
      </c>
      <c r="F26" s="2">
        <v>10</v>
      </c>
      <c r="G26" s="4">
        <v>0.1</v>
      </c>
      <c r="H26" s="4" t="str">
        <f t="shared" si="0"/>
        <v>May</v>
      </c>
      <c r="I26" s="3">
        <v>45429</v>
      </c>
      <c r="J26" s="2">
        <v>217.78</v>
      </c>
      <c r="K26" s="16">
        <f t="shared" si="1"/>
        <v>8711.01</v>
      </c>
      <c r="L26" s="27">
        <f t="shared" ca="1" si="2"/>
        <v>46302.330231597225</v>
      </c>
    </row>
    <row r="27" spans="1:12" x14ac:dyDescent="0.25">
      <c r="A27" s="2" t="s">
        <v>49</v>
      </c>
      <c r="B27" s="2" t="s">
        <v>14</v>
      </c>
      <c r="C27" s="2" t="s">
        <v>24</v>
      </c>
      <c r="D27" s="2" t="s">
        <v>21</v>
      </c>
      <c r="E27" s="2">
        <v>388.56</v>
      </c>
      <c r="F27" s="2">
        <v>14</v>
      </c>
      <c r="G27" s="4">
        <v>0.15</v>
      </c>
      <c r="H27" s="4" t="str">
        <f t="shared" si="0"/>
        <v>May</v>
      </c>
      <c r="I27" s="3">
        <v>45416</v>
      </c>
      <c r="J27" s="2">
        <v>82.57</v>
      </c>
      <c r="K27" s="16">
        <f t="shared" si="1"/>
        <v>4623.8639999999996</v>
      </c>
      <c r="L27" s="27">
        <f t="shared" ca="1" si="2"/>
        <v>46302.330231597225</v>
      </c>
    </row>
    <row r="28" spans="1:12" x14ac:dyDescent="0.25">
      <c r="A28" s="2" t="s">
        <v>40</v>
      </c>
      <c r="B28" s="2" t="s">
        <v>14</v>
      </c>
      <c r="C28" s="2" t="s">
        <v>11</v>
      </c>
      <c r="D28" s="2" t="s">
        <v>27</v>
      </c>
      <c r="E28" s="2">
        <v>822.28</v>
      </c>
      <c r="F28" s="2">
        <v>7</v>
      </c>
      <c r="G28" s="4">
        <v>0.05</v>
      </c>
      <c r="H28" s="4" t="str">
        <f t="shared" si="0"/>
        <v>Apr</v>
      </c>
      <c r="I28" s="3">
        <v>45406</v>
      </c>
      <c r="J28" s="2">
        <v>273.41000000000003</v>
      </c>
      <c r="K28" s="16">
        <f t="shared" si="1"/>
        <v>5468.1619999999994</v>
      </c>
      <c r="L28" s="27">
        <f t="shared" ca="1" si="2"/>
        <v>46302.330231597225</v>
      </c>
    </row>
    <row r="29" spans="1:12" x14ac:dyDescent="0.25">
      <c r="A29" s="2" t="s">
        <v>70</v>
      </c>
      <c r="B29" s="2" t="s">
        <v>55</v>
      </c>
      <c r="C29" s="2" t="s">
        <v>18</v>
      </c>
      <c r="D29" s="2" t="s">
        <v>21</v>
      </c>
      <c r="E29" s="2">
        <v>539.77</v>
      </c>
      <c r="F29" s="2">
        <v>10</v>
      </c>
      <c r="G29" s="4">
        <v>0.15</v>
      </c>
      <c r="H29" s="4" t="str">
        <f t="shared" si="0"/>
        <v>Aug</v>
      </c>
      <c r="I29" s="3">
        <v>45509</v>
      </c>
      <c r="J29" s="2">
        <v>114.7</v>
      </c>
      <c r="K29" s="16">
        <f t="shared" si="1"/>
        <v>4588.0450000000001</v>
      </c>
      <c r="L29" s="27">
        <f t="shared" ca="1" si="2"/>
        <v>46302.330231597225</v>
      </c>
    </row>
    <row r="30" spans="1:12" x14ac:dyDescent="0.25">
      <c r="A30" s="2" t="s">
        <v>54</v>
      </c>
      <c r="B30" s="2" t="s">
        <v>55</v>
      </c>
      <c r="C30" s="2" t="s">
        <v>24</v>
      </c>
      <c r="D30" s="2" t="s">
        <v>21</v>
      </c>
      <c r="E30" s="2">
        <v>1450.71</v>
      </c>
      <c r="F30" s="2">
        <v>5</v>
      </c>
      <c r="G30" s="4">
        <v>0.1</v>
      </c>
      <c r="H30" s="4" t="str">
        <f t="shared" si="0"/>
        <v>May</v>
      </c>
      <c r="I30" s="3">
        <v>45427</v>
      </c>
      <c r="J30" s="2">
        <v>326.41000000000003</v>
      </c>
      <c r="K30" s="16">
        <f t="shared" si="1"/>
        <v>6528.1950000000006</v>
      </c>
      <c r="L30" s="27">
        <f t="shared" ca="1" si="2"/>
        <v>46302.330231597225</v>
      </c>
    </row>
    <row r="31" spans="1:12" x14ac:dyDescent="0.25">
      <c r="A31" s="2" t="s">
        <v>30</v>
      </c>
      <c r="B31" s="2" t="s">
        <v>31</v>
      </c>
      <c r="C31" s="2" t="s">
        <v>18</v>
      </c>
      <c r="D31" s="2" t="s">
        <v>27</v>
      </c>
      <c r="E31" s="2">
        <v>1074.47</v>
      </c>
      <c r="F31" s="2">
        <v>6</v>
      </c>
      <c r="G31" s="4">
        <v>0.2</v>
      </c>
      <c r="H31" s="4" t="str">
        <f t="shared" si="0"/>
        <v>Apr</v>
      </c>
      <c r="I31" s="3">
        <v>45401</v>
      </c>
      <c r="J31" s="2">
        <v>300.85000000000002</v>
      </c>
      <c r="K31" s="16">
        <f t="shared" si="1"/>
        <v>5157.4560000000001</v>
      </c>
      <c r="L31" s="27">
        <f t="shared" ca="1" si="2"/>
        <v>46302.330231597225</v>
      </c>
    </row>
    <row r="32" spans="1:12" x14ac:dyDescent="0.25">
      <c r="A32" s="2" t="s">
        <v>74</v>
      </c>
      <c r="B32" s="2" t="s">
        <v>38</v>
      </c>
      <c r="C32" s="2" t="s">
        <v>18</v>
      </c>
      <c r="D32" s="2" t="s">
        <v>39</v>
      </c>
      <c r="E32" s="2">
        <v>875.41</v>
      </c>
      <c r="F32" s="2">
        <v>13</v>
      </c>
      <c r="G32" s="4">
        <v>0.15</v>
      </c>
      <c r="H32" s="4" t="str">
        <f t="shared" si="0"/>
        <v>Sep</v>
      </c>
      <c r="I32" s="3">
        <v>45552</v>
      </c>
      <c r="J32" s="2">
        <v>334.84</v>
      </c>
      <c r="K32" s="16">
        <f t="shared" si="1"/>
        <v>9673.2804999999989</v>
      </c>
      <c r="L32" s="27">
        <f t="shared" ca="1" si="2"/>
        <v>46302.330231597225</v>
      </c>
    </row>
    <row r="33" spans="1:12" x14ac:dyDescent="0.25">
      <c r="A33" s="2" t="s">
        <v>52</v>
      </c>
      <c r="B33" s="2" t="s">
        <v>53</v>
      </c>
      <c r="C33" s="2" t="s">
        <v>18</v>
      </c>
      <c r="D33" s="2" t="s">
        <v>39</v>
      </c>
      <c r="E33" s="2">
        <v>983.34</v>
      </c>
      <c r="F33" s="2">
        <v>19</v>
      </c>
      <c r="G33" s="4">
        <v>0.1</v>
      </c>
      <c r="H33" s="4" t="str">
        <f t="shared" si="0"/>
        <v>May</v>
      </c>
      <c r="I33" s="3">
        <v>45426</v>
      </c>
      <c r="J33" s="2">
        <v>398.25</v>
      </c>
      <c r="K33" s="16">
        <f t="shared" si="1"/>
        <v>16815.114000000001</v>
      </c>
      <c r="L33" s="27">
        <f t="shared" ca="1" si="2"/>
        <v>46302.330231597225</v>
      </c>
    </row>
    <row r="34" spans="1:12" x14ac:dyDescent="0.25">
      <c r="A34" s="2" t="s">
        <v>41</v>
      </c>
      <c r="B34" s="2" t="s">
        <v>42</v>
      </c>
      <c r="C34" s="2" t="s">
        <v>24</v>
      </c>
      <c r="D34" s="2" t="s">
        <v>27</v>
      </c>
      <c r="E34" s="2">
        <v>521.66999999999996</v>
      </c>
      <c r="F34" s="2">
        <v>15</v>
      </c>
      <c r="G34" s="4">
        <v>0.15</v>
      </c>
      <c r="H34" s="4" t="str">
        <f t="shared" si="0"/>
        <v>Apr</v>
      </c>
      <c r="I34" s="3">
        <v>45409</v>
      </c>
      <c r="J34" s="2">
        <v>155.19999999999999</v>
      </c>
      <c r="K34" s="16">
        <f t="shared" si="1"/>
        <v>6651.2924999999996</v>
      </c>
      <c r="L34" s="27">
        <f t="shared" ca="1" si="2"/>
        <v>46302.330231597225</v>
      </c>
    </row>
    <row r="35" spans="1:12" x14ac:dyDescent="0.25">
      <c r="A35" s="2" t="s">
        <v>22</v>
      </c>
      <c r="B35" s="2" t="s">
        <v>23</v>
      </c>
      <c r="C35" s="2" t="s">
        <v>24</v>
      </c>
      <c r="D35" s="2" t="s">
        <v>12</v>
      </c>
      <c r="E35" s="2">
        <v>847</v>
      </c>
      <c r="F35" s="2">
        <v>12</v>
      </c>
      <c r="G35" s="4">
        <v>0.2</v>
      </c>
      <c r="H35" s="4" t="str">
        <f t="shared" si="0"/>
        <v>Apr</v>
      </c>
      <c r="I35" s="3">
        <v>45397</v>
      </c>
      <c r="J35" s="2">
        <v>271.04000000000002</v>
      </c>
      <c r="K35" s="16">
        <f t="shared" si="1"/>
        <v>8131.2000000000007</v>
      </c>
      <c r="L35" s="27">
        <f t="shared" ca="1" si="2"/>
        <v>46302.330231597225</v>
      </c>
    </row>
    <row r="37" spans="1:12" x14ac:dyDescent="0.25">
      <c r="A37" s="17">
        <v>2</v>
      </c>
      <c r="B37" s="62" t="s">
        <v>77</v>
      </c>
      <c r="C37" s="62"/>
      <c r="D37" s="62"/>
      <c r="E37" s="62"/>
    </row>
    <row r="39" spans="1:12" x14ac:dyDescent="0.25">
      <c r="A39" s="12" t="s">
        <v>3</v>
      </c>
      <c r="B39" s="12" t="s">
        <v>78</v>
      </c>
      <c r="G39" s="7" t="s">
        <v>81</v>
      </c>
      <c r="H39" s="7" t="s">
        <v>82</v>
      </c>
    </row>
    <row r="40" spans="1:12" x14ac:dyDescent="0.25">
      <c r="A40" s="7" t="str" cm="1">
        <f t="array" ref="A40:A44">_xlfn.UNIQUE($D$6:$D$35)</f>
        <v>Electronics</v>
      </c>
      <c r="B40" s="7">
        <f>SUMIF($D$6:$D$35,$A40,$J$6:$J$35)</f>
        <v>1216.0700000000002</v>
      </c>
      <c r="D40" s="7" t="s">
        <v>80</v>
      </c>
      <c r="E40" s="7" t="s">
        <v>21</v>
      </c>
      <c r="G40" s="14">
        <v>0.05</v>
      </c>
      <c r="H40" s="16">
        <f>E43</f>
        <v>1155.2665000000002</v>
      </c>
    </row>
    <row r="41" spans="1:12" x14ac:dyDescent="0.25">
      <c r="A41" s="7" t="str">
        <v>Books</v>
      </c>
      <c r="B41" s="7">
        <f>SUMIF($D$6:$D$35,$A41,$J$6:$J$35)</f>
        <v>3173.77</v>
      </c>
      <c r="D41" s="7" t="s">
        <v>78</v>
      </c>
      <c r="E41" s="7">
        <f>INDEX($B$40:$B$44,MATCH(E40,_xlfn.ANCHORARRAY(A40),0))</f>
        <v>1216.0700000000002</v>
      </c>
      <c r="G41" s="14">
        <v>0.1</v>
      </c>
      <c r="H41" s="16">
        <f t="dataTable" ref="H41:H44" dt2D="0" dtr="0" r1="E42"/>
        <v>1094.4630000000002</v>
      </c>
    </row>
    <row r="42" spans="1:12" x14ac:dyDescent="0.25">
      <c r="A42" s="7" t="str">
        <v>Furniture</v>
      </c>
      <c r="B42" s="7">
        <f>SUMIF($D$6:$D$35,$A42,$J$6:$J$35)</f>
        <v>1891.1000000000001</v>
      </c>
      <c r="D42" s="14" t="s">
        <v>6</v>
      </c>
      <c r="E42" s="14">
        <v>0.05</v>
      </c>
      <c r="G42" s="14">
        <v>0.15</v>
      </c>
      <c r="H42" s="16">
        <v>1033.6595000000002</v>
      </c>
    </row>
    <row r="43" spans="1:12" x14ac:dyDescent="0.25">
      <c r="A43" s="7" t="str">
        <v>Clothing</v>
      </c>
      <c r="B43" s="7">
        <f>SUMIF($D$6:$D$35,$A43,$J$6:$J$35)</f>
        <v>790.73</v>
      </c>
      <c r="D43" s="14" t="s">
        <v>79</v>
      </c>
      <c r="E43" s="16">
        <f>E41*(1-E42)</f>
        <v>1155.2665000000002</v>
      </c>
      <c r="G43" s="15">
        <v>0.2</v>
      </c>
      <c r="H43" s="7">
        <v>972.85600000000022</v>
      </c>
    </row>
    <row r="44" spans="1:12" x14ac:dyDescent="0.25">
      <c r="A44" s="7" t="str">
        <v>Office Supplies</v>
      </c>
      <c r="B44" s="7">
        <f>SUMIF($D$6:$D$35,$A44,$J$6:$J$35)</f>
        <v>2369.5599999999995</v>
      </c>
      <c r="E44" s="13"/>
      <c r="G44" s="15">
        <v>0.25</v>
      </c>
      <c r="H44" s="7">
        <v>912.05250000000012</v>
      </c>
    </row>
    <row r="47" spans="1:12" x14ac:dyDescent="0.25">
      <c r="A47" s="17">
        <v>3</v>
      </c>
      <c r="B47" s="62" t="s">
        <v>83</v>
      </c>
      <c r="C47" s="62"/>
      <c r="D47" s="62"/>
      <c r="E47" s="62"/>
    </row>
    <row r="50" spans="1:10" x14ac:dyDescent="0.25">
      <c r="A50" s="63"/>
      <c r="B50" s="63"/>
      <c r="C50" s="63"/>
    </row>
    <row r="51" spans="1:10" x14ac:dyDescent="0.25">
      <c r="A51" s="63"/>
      <c r="B51" s="63"/>
      <c r="C51" s="63"/>
      <c r="E51" t="s">
        <v>85</v>
      </c>
    </row>
    <row r="52" spans="1:10" ht="15.75" thickBot="1" x14ac:dyDescent="0.3">
      <c r="A52" s="1" t="s">
        <v>4</v>
      </c>
      <c r="B52" s="1" t="s">
        <v>8</v>
      </c>
      <c r="C52" s="24" t="s">
        <v>110</v>
      </c>
    </row>
    <row r="53" spans="1:10" x14ac:dyDescent="0.25">
      <c r="A53" s="2">
        <v>1317.53</v>
      </c>
      <c r="B53" s="2">
        <v>312.91000000000003</v>
      </c>
      <c r="C53" s="16">
        <f>$F$68*A53+$F$67</f>
        <v>446.40702395152795</v>
      </c>
      <c r="E53" s="23" t="s">
        <v>86</v>
      </c>
      <c r="F53" s="23"/>
    </row>
    <row r="54" spans="1:10" x14ac:dyDescent="0.25">
      <c r="A54" s="2">
        <v>942.9</v>
      </c>
      <c r="B54" s="2">
        <v>339.44</v>
      </c>
      <c r="C54" s="16">
        <f t="shared" ref="C54:C85" si="3">$F$68*A54+$F$67</f>
        <v>316.64322997116</v>
      </c>
      <c r="E54" s="20" t="s">
        <v>87</v>
      </c>
      <c r="F54" s="20">
        <v>0.83740361865092783</v>
      </c>
    </row>
    <row r="55" spans="1:10" x14ac:dyDescent="0.25">
      <c r="A55" s="2">
        <v>1248.82</v>
      </c>
      <c r="B55" s="2">
        <v>449.58</v>
      </c>
      <c r="C55" s="16">
        <f t="shared" si="3"/>
        <v>422.6073541856494</v>
      </c>
      <c r="E55" s="20" t="s">
        <v>88</v>
      </c>
      <c r="F55" s="20">
        <v>0.70124482052966863</v>
      </c>
    </row>
    <row r="56" spans="1:10" x14ac:dyDescent="0.25">
      <c r="A56" s="2">
        <v>518.07000000000005</v>
      </c>
      <c r="B56" s="2">
        <v>172.26</v>
      </c>
      <c r="C56" s="16">
        <f t="shared" si="3"/>
        <v>169.49123307641122</v>
      </c>
      <c r="E56" s="20" t="s">
        <v>89</v>
      </c>
      <c r="F56" s="20">
        <v>0.69057499269144251</v>
      </c>
    </row>
    <row r="57" spans="1:10" x14ac:dyDescent="0.25">
      <c r="A57" s="2">
        <v>760.93</v>
      </c>
      <c r="B57" s="2">
        <v>161.69999999999999</v>
      </c>
      <c r="C57" s="16">
        <f t="shared" si="3"/>
        <v>253.6127262992502</v>
      </c>
      <c r="E57" s="20" t="s">
        <v>90</v>
      </c>
      <c r="F57" s="20">
        <v>72.429855365967839</v>
      </c>
    </row>
    <row r="58" spans="1:10" ht="15.75" thickBot="1" x14ac:dyDescent="0.3">
      <c r="A58" s="2">
        <v>1506.14</v>
      </c>
      <c r="B58" s="2">
        <v>481.96</v>
      </c>
      <c r="C58" s="16">
        <f t="shared" si="3"/>
        <v>511.737481156336</v>
      </c>
      <c r="E58" s="21" t="s">
        <v>91</v>
      </c>
      <c r="F58" s="21">
        <v>30</v>
      </c>
    </row>
    <row r="59" spans="1:10" x14ac:dyDescent="0.25">
      <c r="A59" s="2">
        <v>965.64</v>
      </c>
      <c r="B59" s="2">
        <v>304.18</v>
      </c>
      <c r="C59" s="16">
        <f t="shared" si="3"/>
        <v>324.51987806424802</v>
      </c>
    </row>
    <row r="60" spans="1:10" ht="15.75" thickBot="1" x14ac:dyDescent="0.3">
      <c r="A60" s="2">
        <v>877.58</v>
      </c>
      <c r="B60" s="2">
        <v>298.38</v>
      </c>
      <c r="C60" s="16">
        <f t="shared" si="3"/>
        <v>294.01778346981831</v>
      </c>
      <c r="E60" t="s">
        <v>92</v>
      </c>
    </row>
    <row r="61" spans="1:10" x14ac:dyDescent="0.25">
      <c r="A61" s="2">
        <v>501.54</v>
      </c>
      <c r="B61" s="2">
        <v>190.59</v>
      </c>
      <c r="C61" s="16">
        <f t="shared" si="3"/>
        <v>163.76559574225357</v>
      </c>
      <c r="E61" s="22"/>
      <c r="F61" s="22" t="s">
        <v>97</v>
      </c>
      <c r="G61" s="22" t="s">
        <v>98</v>
      </c>
      <c r="H61" s="22" t="s">
        <v>99</v>
      </c>
      <c r="I61" s="22" t="s">
        <v>100</v>
      </c>
      <c r="J61" s="22" t="s">
        <v>101</v>
      </c>
    </row>
    <row r="62" spans="1:10" x14ac:dyDescent="0.25">
      <c r="A62" s="2">
        <v>737.31</v>
      </c>
      <c r="B62" s="2">
        <v>350.22</v>
      </c>
      <c r="C62" s="16">
        <f t="shared" si="3"/>
        <v>245.43126508734431</v>
      </c>
      <c r="E62" s="20" t="s">
        <v>93</v>
      </c>
      <c r="F62" s="20">
        <v>1</v>
      </c>
      <c r="G62" s="20">
        <v>344784.30698328617</v>
      </c>
      <c r="H62" s="20">
        <v>344784.30698328617</v>
      </c>
      <c r="I62" s="20">
        <v>65.72222449713415</v>
      </c>
      <c r="J62" s="20">
        <v>7.9430857126823162E-9</v>
      </c>
    </row>
    <row r="63" spans="1:10" x14ac:dyDescent="0.25">
      <c r="A63" s="2">
        <v>1001.57</v>
      </c>
      <c r="B63" s="2">
        <v>450.71</v>
      </c>
      <c r="C63" s="16">
        <f t="shared" si="3"/>
        <v>336.96525915416237</v>
      </c>
      <c r="E63" s="20" t="s">
        <v>94</v>
      </c>
      <c r="F63" s="20">
        <v>28</v>
      </c>
      <c r="G63" s="20">
        <v>146890.35055338059</v>
      </c>
      <c r="H63" s="20">
        <v>5246.083948335021</v>
      </c>
      <c r="I63" s="20"/>
      <c r="J63" s="20"/>
    </row>
    <row r="64" spans="1:10" ht="15.75" thickBot="1" x14ac:dyDescent="0.3">
      <c r="A64" s="2">
        <v>1101.28</v>
      </c>
      <c r="B64" s="2">
        <v>440.51</v>
      </c>
      <c r="C64" s="16">
        <f t="shared" si="3"/>
        <v>371.50266378748722</v>
      </c>
      <c r="E64" s="21" t="s">
        <v>95</v>
      </c>
      <c r="F64" s="21">
        <v>29</v>
      </c>
      <c r="G64" s="21">
        <v>491674.65753666672</v>
      </c>
      <c r="H64" s="21"/>
      <c r="I64" s="21"/>
      <c r="J64" s="21"/>
    </row>
    <row r="65" spans="1:13" ht="15.75" thickBot="1" x14ac:dyDescent="0.3">
      <c r="A65" s="2">
        <v>727.73</v>
      </c>
      <c r="B65" s="2">
        <v>229.23</v>
      </c>
      <c r="C65" s="16">
        <f t="shared" si="3"/>
        <v>242.11295863475934</v>
      </c>
    </row>
    <row r="66" spans="1:13" x14ac:dyDescent="0.25">
      <c r="A66" s="2">
        <v>1572.82</v>
      </c>
      <c r="B66" s="2">
        <v>672.38</v>
      </c>
      <c r="C66" s="16">
        <f t="shared" si="3"/>
        <v>534.83400247766872</v>
      </c>
      <c r="E66" s="22"/>
      <c r="F66" s="22" t="s">
        <v>102</v>
      </c>
      <c r="G66" s="22" t="s">
        <v>90</v>
      </c>
      <c r="H66" s="22" t="s">
        <v>103</v>
      </c>
      <c r="I66" s="22" t="s">
        <v>104</v>
      </c>
      <c r="J66" s="22" t="s">
        <v>105</v>
      </c>
      <c r="K66" s="22" t="s">
        <v>106</v>
      </c>
      <c r="L66" s="22" t="s">
        <v>107</v>
      </c>
      <c r="M66" s="22" t="s">
        <v>108</v>
      </c>
    </row>
    <row r="67" spans="1:13" x14ac:dyDescent="0.25">
      <c r="A67" s="2">
        <v>1200.9000000000001</v>
      </c>
      <c r="B67" s="2">
        <v>513.38</v>
      </c>
      <c r="C67" s="16">
        <f t="shared" si="3"/>
        <v>406.00889435184212</v>
      </c>
      <c r="E67" s="20" t="s">
        <v>96</v>
      </c>
      <c r="F67" s="20">
        <v>-9.9570992712631323</v>
      </c>
      <c r="G67" s="20">
        <v>42.174618846078971</v>
      </c>
      <c r="H67" s="20">
        <v>-0.23609221716034209</v>
      </c>
      <c r="I67" s="20">
        <v>0.81507961413809671</v>
      </c>
      <c r="J67" s="20">
        <v>-96.347889718063612</v>
      </c>
      <c r="K67" s="20">
        <v>76.433691175537348</v>
      </c>
      <c r="L67" s="20">
        <v>-96.347889718063612</v>
      </c>
      <c r="M67" s="20">
        <v>76.433691175537348</v>
      </c>
    </row>
    <row r="68" spans="1:13" ht="15.75" thickBot="1" x14ac:dyDescent="0.3">
      <c r="A68" s="2">
        <v>580.42999999999995</v>
      </c>
      <c r="B68" s="2">
        <v>197.35</v>
      </c>
      <c r="C68" s="16">
        <f t="shared" si="3"/>
        <v>191.09139908718382</v>
      </c>
      <c r="E68" s="21" t="s">
        <v>109</v>
      </c>
      <c r="F68" s="21">
        <v>0.34637854411117097</v>
      </c>
      <c r="G68" s="21">
        <v>4.2726257662521416E-2</v>
      </c>
      <c r="H68" s="21">
        <v>8.106924478316925</v>
      </c>
      <c r="I68" s="21">
        <v>7.9430857126823162E-9</v>
      </c>
      <c r="J68" s="21">
        <v>0.25885777277307831</v>
      </c>
      <c r="K68" s="21">
        <v>0.43389931544926363</v>
      </c>
      <c r="L68" s="21">
        <v>0.25885777277307831</v>
      </c>
      <c r="M68" s="21">
        <v>0.43389931544926363</v>
      </c>
    </row>
    <row r="69" spans="1:13" x14ac:dyDescent="0.25">
      <c r="A69" s="2">
        <v>713.34</v>
      </c>
      <c r="B69" s="2">
        <v>285.33999999999997</v>
      </c>
      <c r="C69" s="16">
        <f t="shared" si="3"/>
        <v>237.12857138499959</v>
      </c>
    </row>
    <row r="70" spans="1:13" x14ac:dyDescent="0.25">
      <c r="A70" s="2">
        <v>966.3</v>
      </c>
      <c r="B70" s="2">
        <v>328.54</v>
      </c>
      <c r="C70" s="16">
        <f t="shared" si="3"/>
        <v>324.74848790336137</v>
      </c>
    </row>
    <row r="71" spans="1:13" x14ac:dyDescent="0.25">
      <c r="A71" s="2">
        <v>1036.0899999999999</v>
      </c>
      <c r="B71" s="2">
        <v>331.55</v>
      </c>
      <c r="C71" s="16">
        <f t="shared" si="3"/>
        <v>348.92224649687995</v>
      </c>
    </row>
    <row r="72" spans="1:13" x14ac:dyDescent="0.25">
      <c r="A72" s="2">
        <v>1371.34</v>
      </c>
      <c r="B72" s="2">
        <v>455.97</v>
      </c>
      <c r="C72" s="16">
        <f t="shared" si="3"/>
        <v>465.04565341015007</v>
      </c>
    </row>
    <row r="73" spans="1:13" x14ac:dyDescent="0.25">
      <c r="A73" s="2">
        <v>967.89</v>
      </c>
      <c r="B73" s="2">
        <v>217.78</v>
      </c>
      <c r="C73" s="16">
        <f t="shared" si="3"/>
        <v>325.29922978849811</v>
      </c>
    </row>
    <row r="74" spans="1:13" x14ac:dyDescent="0.25">
      <c r="A74" s="2">
        <v>388.56</v>
      </c>
      <c r="B74" s="2">
        <v>82.57</v>
      </c>
      <c r="C74" s="16">
        <f t="shared" si="3"/>
        <v>124.63174782857345</v>
      </c>
    </row>
    <row r="75" spans="1:13" x14ac:dyDescent="0.25">
      <c r="A75" s="2">
        <v>822.28</v>
      </c>
      <c r="B75" s="2">
        <v>273.41000000000003</v>
      </c>
      <c r="C75" s="16">
        <f t="shared" si="3"/>
        <v>274.86304998047052</v>
      </c>
    </row>
    <row r="76" spans="1:13" x14ac:dyDescent="0.25">
      <c r="A76" s="2">
        <v>539.77</v>
      </c>
      <c r="B76" s="2">
        <v>114.7</v>
      </c>
      <c r="C76" s="16">
        <f t="shared" si="3"/>
        <v>177.00764748362363</v>
      </c>
    </row>
    <row r="77" spans="1:13" x14ac:dyDescent="0.25">
      <c r="A77" s="2">
        <v>1450.71</v>
      </c>
      <c r="B77" s="2">
        <v>326.41000000000003</v>
      </c>
      <c r="C77" s="16">
        <f t="shared" si="3"/>
        <v>492.53771845625374</v>
      </c>
    </row>
    <row r="78" spans="1:13" x14ac:dyDescent="0.25">
      <c r="A78" s="2">
        <v>1074.47</v>
      </c>
      <c r="B78" s="2">
        <v>300.85000000000002</v>
      </c>
      <c r="C78" s="16">
        <f t="shared" si="3"/>
        <v>362.21625501986676</v>
      </c>
    </row>
    <row r="79" spans="1:13" x14ac:dyDescent="0.25">
      <c r="A79" s="2">
        <v>875.41</v>
      </c>
      <c r="B79" s="2">
        <v>334.84</v>
      </c>
      <c r="C79" s="16">
        <f t="shared" si="3"/>
        <v>293.26614202909701</v>
      </c>
    </row>
    <row r="80" spans="1:13" x14ac:dyDescent="0.25">
      <c r="A80" s="2">
        <v>983.34</v>
      </c>
      <c r="B80" s="2">
        <v>398.25</v>
      </c>
      <c r="C80" s="16">
        <f t="shared" si="3"/>
        <v>330.65077829501575</v>
      </c>
    </row>
    <row r="81" spans="1:8" x14ac:dyDescent="0.25">
      <c r="A81" s="2">
        <v>521.66999999999996</v>
      </c>
      <c r="B81" s="2">
        <v>155.19999999999999</v>
      </c>
      <c r="C81" s="16">
        <f t="shared" si="3"/>
        <v>170.73819583521143</v>
      </c>
    </row>
    <row r="82" spans="1:8" x14ac:dyDescent="0.25">
      <c r="A82" s="2">
        <v>847</v>
      </c>
      <c r="B82" s="2">
        <v>271.04000000000002</v>
      </c>
      <c r="C82" s="16">
        <f t="shared" si="3"/>
        <v>283.4255275908987</v>
      </c>
    </row>
    <row r="83" spans="1:8" x14ac:dyDescent="0.25">
      <c r="A83" s="18">
        <v>9600</v>
      </c>
      <c r="B83" s="19" t="s">
        <v>84</v>
      </c>
      <c r="C83" s="16">
        <f t="shared" si="3"/>
        <v>3315.2769241959786</v>
      </c>
    </row>
    <row r="84" spans="1:8" x14ac:dyDescent="0.25">
      <c r="A84" s="18">
        <v>5600</v>
      </c>
      <c r="B84" s="19" t="s">
        <v>84</v>
      </c>
      <c r="C84" s="16">
        <f t="shared" si="3"/>
        <v>1929.7627477512942</v>
      </c>
    </row>
    <row r="85" spans="1:8" x14ac:dyDescent="0.25">
      <c r="A85" s="18">
        <v>4500</v>
      </c>
      <c r="B85" s="19" t="s">
        <v>84</v>
      </c>
      <c r="C85" s="16">
        <f t="shared" si="3"/>
        <v>1548.7463492290062</v>
      </c>
    </row>
    <row r="88" spans="1:8" x14ac:dyDescent="0.25">
      <c r="A88" s="17">
        <v>4</v>
      </c>
      <c r="B88" s="55" t="s">
        <v>111</v>
      </c>
      <c r="C88" s="56"/>
      <c r="D88" s="56"/>
      <c r="E88" s="57"/>
    </row>
    <row r="90" spans="1:8" x14ac:dyDescent="0.25">
      <c r="A90" s="64" t="s">
        <v>4</v>
      </c>
      <c r="B90" s="65"/>
      <c r="C90" s="64" t="s">
        <v>5</v>
      </c>
      <c r="D90" s="65"/>
      <c r="E90" s="64" t="s">
        <v>8</v>
      </c>
      <c r="F90" s="65"/>
      <c r="G90" s="64" t="s">
        <v>76</v>
      </c>
      <c r="H90" s="65"/>
    </row>
    <row r="91" spans="1:8" x14ac:dyDescent="0.25">
      <c r="A91" s="25" t="s">
        <v>112</v>
      </c>
      <c r="B91" s="25">
        <v>937.31200000000001</v>
      </c>
      <c r="C91" s="25" t="s">
        <v>112</v>
      </c>
      <c r="D91" s="25">
        <v>9.3666666666666671</v>
      </c>
      <c r="E91" s="25" t="s">
        <v>112</v>
      </c>
      <c r="F91" s="25">
        <v>314.70766666666674</v>
      </c>
      <c r="G91" s="25" t="s">
        <v>112</v>
      </c>
      <c r="H91" s="25">
        <v>7495.5740333333351</v>
      </c>
    </row>
    <row r="92" spans="1:8" x14ac:dyDescent="0.25">
      <c r="A92" s="25" t="s">
        <v>90</v>
      </c>
      <c r="B92" s="25">
        <v>57.472903295339094</v>
      </c>
      <c r="C92" s="25" t="s">
        <v>90</v>
      </c>
      <c r="D92" s="25">
        <v>0.98783791929105058</v>
      </c>
      <c r="E92" s="25" t="s">
        <v>90</v>
      </c>
      <c r="F92" s="25">
        <v>23.772742469578532</v>
      </c>
      <c r="G92" s="25" t="s">
        <v>90</v>
      </c>
      <c r="H92" s="25">
        <v>869.86440370399191</v>
      </c>
    </row>
    <row r="93" spans="1:8" x14ac:dyDescent="0.25">
      <c r="A93" s="25" t="s">
        <v>113</v>
      </c>
      <c r="B93" s="25">
        <v>954.27</v>
      </c>
      <c r="C93" s="25" t="s">
        <v>113</v>
      </c>
      <c r="D93" s="25">
        <v>10</v>
      </c>
      <c r="E93" s="25" t="s">
        <v>113</v>
      </c>
      <c r="F93" s="25">
        <v>308.54500000000002</v>
      </c>
      <c r="G93" s="25" t="s">
        <v>113</v>
      </c>
      <c r="H93" s="25">
        <v>6589.7437499999996</v>
      </c>
    </row>
    <row r="94" spans="1:8" x14ac:dyDescent="0.25">
      <c r="A94" s="25" t="s">
        <v>114</v>
      </c>
      <c r="B94" s="25" t="e">
        <v>#N/A</v>
      </c>
      <c r="C94" s="25" t="s">
        <v>114</v>
      </c>
      <c r="D94" s="25">
        <v>12</v>
      </c>
      <c r="E94" s="25" t="s">
        <v>114</v>
      </c>
      <c r="F94" s="25" t="e">
        <v>#N/A</v>
      </c>
      <c r="G94" s="25" t="s">
        <v>114</v>
      </c>
      <c r="H94" s="25" t="e">
        <v>#N/A</v>
      </c>
    </row>
    <row r="95" spans="1:8" x14ac:dyDescent="0.25">
      <c r="A95" s="25" t="s">
        <v>115</v>
      </c>
      <c r="B95" s="25">
        <v>314.79205580170219</v>
      </c>
      <c r="C95" s="25" t="s">
        <v>115</v>
      </c>
      <c r="D95" s="25">
        <v>5.4106111155467609</v>
      </c>
      <c r="E95" s="25" t="s">
        <v>115</v>
      </c>
      <c r="F95" s="25">
        <v>130.20867304349233</v>
      </c>
      <c r="G95" s="25" t="s">
        <v>115</v>
      </c>
      <c r="H95" s="25">
        <v>4764.4435587945673</v>
      </c>
    </row>
    <row r="96" spans="1:8" x14ac:dyDescent="0.25">
      <c r="A96" s="25" t="s">
        <v>116</v>
      </c>
      <c r="B96" s="25">
        <v>99094.038395861993</v>
      </c>
      <c r="C96" s="25" t="s">
        <v>116</v>
      </c>
      <c r="D96" s="25">
        <v>29.274712643678161</v>
      </c>
      <c r="E96" s="25" t="s">
        <v>116</v>
      </c>
      <c r="F96" s="25">
        <v>16954.298535747082</v>
      </c>
      <c r="G96" s="25" t="s">
        <v>116</v>
      </c>
      <c r="H96" s="25">
        <v>22699922.42493904</v>
      </c>
    </row>
    <row r="97" spans="1:8" x14ac:dyDescent="0.25">
      <c r="A97" s="25" t="s">
        <v>117</v>
      </c>
      <c r="B97" s="25">
        <v>-0.5507282195968668</v>
      </c>
      <c r="C97" s="25" t="s">
        <v>117</v>
      </c>
      <c r="D97" s="25">
        <v>-1.0262263378825232</v>
      </c>
      <c r="E97" s="25" t="s">
        <v>117</v>
      </c>
      <c r="F97" s="25">
        <v>0.61267289463280239</v>
      </c>
      <c r="G97" s="25" t="s">
        <v>117</v>
      </c>
      <c r="H97" s="25">
        <v>-0.67245997289288351</v>
      </c>
    </row>
    <row r="98" spans="1:8" x14ac:dyDescent="0.25">
      <c r="A98" s="25" t="s">
        <v>118</v>
      </c>
      <c r="B98" s="25">
        <v>0.27393495335187207</v>
      </c>
      <c r="C98" s="25" t="s">
        <v>118</v>
      </c>
      <c r="D98" s="25">
        <v>0.18325662269894955</v>
      </c>
      <c r="E98" s="25" t="s">
        <v>118</v>
      </c>
      <c r="F98" s="25">
        <v>0.54264401478667801</v>
      </c>
      <c r="G98" s="25" t="s">
        <v>118</v>
      </c>
      <c r="H98" s="25">
        <v>0.59007614277736808</v>
      </c>
    </row>
    <row r="99" spans="1:8" x14ac:dyDescent="0.25">
      <c r="A99" s="25" t="s">
        <v>119</v>
      </c>
      <c r="B99" s="25">
        <v>1184.26</v>
      </c>
      <c r="C99" s="25" t="s">
        <v>119</v>
      </c>
      <c r="D99" s="25">
        <v>18</v>
      </c>
      <c r="E99" s="25" t="s">
        <v>119</v>
      </c>
      <c r="F99" s="25">
        <v>589.80999999999995</v>
      </c>
      <c r="G99" s="25" t="s">
        <v>119</v>
      </c>
      <c r="H99" s="25">
        <v>16160.157000000001</v>
      </c>
    </row>
    <row r="100" spans="1:8" x14ac:dyDescent="0.25">
      <c r="A100" s="25" t="s">
        <v>120</v>
      </c>
      <c r="B100" s="25">
        <v>388.56</v>
      </c>
      <c r="C100" s="25" t="s">
        <v>120</v>
      </c>
      <c r="D100" s="25">
        <v>1</v>
      </c>
      <c r="E100" s="25" t="s">
        <v>120</v>
      </c>
      <c r="F100" s="25">
        <v>82.57</v>
      </c>
      <c r="G100" s="25" t="s">
        <v>120</v>
      </c>
      <c r="H100" s="25">
        <v>654.95699999999999</v>
      </c>
    </row>
    <row r="101" spans="1:8" x14ac:dyDescent="0.25">
      <c r="A101" s="25" t="s">
        <v>121</v>
      </c>
      <c r="B101" s="25">
        <v>1572.82</v>
      </c>
      <c r="C101" s="25" t="s">
        <v>121</v>
      </c>
      <c r="D101" s="25">
        <v>19</v>
      </c>
      <c r="E101" s="25" t="s">
        <v>121</v>
      </c>
      <c r="F101" s="25">
        <v>672.38</v>
      </c>
      <c r="G101" s="25" t="s">
        <v>121</v>
      </c>
      <c r="H101" s="25">
        <v>16815.114000000001</v>
      </c>
    </row>
    <row r="102" spans="1:8" x14ac:dyDescent="0.25">
      <c r="A102" s="25" t="s">
        <v>122</v>
      </c>
      <c r="B102" s="25">
        <v>28119.360000000001</v>
      </c>
      <c r="C102" s="25" t="s">
        <v>122</v>
      </c>
      <c r="D102" s="25">
        <v>281</v>
      </c>
      <c r="E102" s="25" t="s">
        <v>122</v>
      </c>
      <c r="F102" s="25">
        <v>9441.2300000000014</v>
      </c>
      <c r="G102" s="25" t="s">
        <v>122</v>
      </c>
      <c r="H102" s="25">
        <v>224867.22100000005</v>
      </c>
    </row>
    <row r="103" spans="1:8" x14ac:dyDescent="0.25">
      <c r="A103" s="25" t="s">
        <v>123</v>
      </c>
      <c r="B103" s="25">
        <v>30</v>
      </c>
      <c r="C103" s="25" t="s">
        <v>123</v>
      </c>
      <c r="D103" s="25">
        <v>30</v>
      </c>
      <c r="E103" s="25" t="s">
        <v>123</v>
      </c>
      <c r="F103" s="25">
        <v>30</v>
      </c>
      <c r="G103" s="25" t="s">
        <v>123</v>
      </c>
      <c r="H103" s="25">
        <v>30</v>
      </c>
    </row>
    <row r="106" spans="1:8" x14ac:dyDescent="0.25">
      <c r="A106" s="17">
        <v>5</v>
      </c>
      <c r="B106" s="55" t="s">
        <v>124</v>
      </c>
      <c r="C106" s="56"/>
      <c r="D106" s="56"/>
      <c r="E106" s="57"/>
    </row>
    <row r="108" spans="1:8" x14ac:dyDescent="0.25">
      <c r="A108" s="26" t="s">
        <v>125</v>
      </c>
      <c r="B108" s="26" t="s">
        <v>4</v>
      </c>
      <c r="C108" s="26" t="s">
        <v>162</v>
      </c>
    </row>
    <row r="109" spans="1:8" ht="15.75" x14ac:dyDescent="0.25">
      <c r="A109" s="6" t="s">
        <v>141</v>
      </c>
      <c r="B109" s="7">
        <f>SUMIF($H$6:$H$35,$A109,$E$6:$E$35)</f>
        <v>14355.62</v>
      </c>
      <c r="C109" s="53" t="s">
        <v>164</v>
      </c>
    </row>
    <row r="110" spans="1:8" x14ac:dyDescent="0.25">
      <c r="A110" s="6" t="s">
        <v>145</v>
      </c>
      <c r="B110" s="7">
        <f t="shared" ref="B110:B114" si="4">SUMIF($H$6:$H$35,$A110,$E$6:$E$35)</f>
        <v>5571.83</v>
      </c>
      <c r="C110" s="54">
        <f>(B110-B109)/B109</f>
        <v>-0.61187116961858845</v>
      </c>
    </row>
    <row r="111" spans="1:8" x14ac:dyDescent="0.25">
      <c r="A111" s="6" t="s">
        <v>163</v>
      </c>
      <c r="B111" s="7">
        <f t="shared" si="4"/>
        <v>3193.29</v>
      </c>
      <c r="C111" s="54">
        <f t="shared" ref="C111:C114" si="5">(B111-B110)/B110</f>
        <v>-0.42688667816498349</v>
      </c>
    </row>
    <row r="112" spans="1:8" x14ac:dyDescent="0.25">
      <c r="A112" s="6" t="s">
        <v>146</v>
      </c>
      <c r="B112" s="7">
        <f t="shared" si="4"/>
        <v>1371.34</v>
      </c>
      <c r="C112" s="54">
        <f t="shared" si="5"/>
        <v>-0.57055575910737832</v>
      </c>
    </row>
    <row r="113" spans="1:12" x14ac:dyDescent="0.25">
      <c r="A113" s="6" t="s">
        <v>143</v>
      </c>
      <c r="B113" s="7">
        <f t="shared" si="4"/>
        <v>1057.8400000000001</v>
      </c>
      <c r="C113" s="54">
        <f t="shared" si="5"/>
        <v>-0.22860851429988172</v>
      </c>
    </row>
    <row r="114" spans="1:12" x14ac:dyDescent="0.25">
      <c r="A114" s="6" t="s">
        <v>144</v>
      </c>
      <c r="B114" s="7">
        <f t="shared" si="4"/>
        <v>2569.44</v>
      </c>
      <c r="C114" s="54">
        <f t="shared" si="5"/>
        <v>1.4289495575890492</v>
      </c>
    </row>
    <row r="117" spans="1:12" x14ac:dyDescent="0.25">
      <c r="A117" s="17">
        <v>7</v>
      </c>
      <c r="B117" s="62" t="s">
        <v>130</v>
      </c>
      <c r="C117" s="62"/>
      <c r="D117" s="62"/>
      <c r="E117" s="62"/>
    </row>
    <row r="119" spans="1:12" x14ac:dyDescent="0.25">
      <c r="A119" s="35" t="s">
        <v>131</v>
      </c>
      <c r="B119" s="35" t="s">
        <v>132</v>
      </c>
    </row>
    <row r="120" spans="1:12" x14ac:dyDescent="0.25">
      <c r="A120" s="7" t="s">
        <v>34</v>
      </c>
      <c r="B120" s="7" t="s">
        <v>76</v>
      </c>
    </row>
    <row r="121" spans="1:12" x14ac:dyDescent="0.25">
      <c r="A121" s="31"/>
      <c r="B121" s="31"/>
    </row>
    <row r="122" spans="1:12" ht="15.75" x14ac:dyDescent="0.25">
      <c r="D122" s="61" t="s">
        <v>133</v>
      </c>
      <c r="E122" s="61"/>
      <c r="F122" s="61"/>
    </row>
    <row r="123" spans="1:12" x14ac:dyDescent="0.25">
      <c r="A123" s="45" t="s">
        <v>0</v>
      </c>
      <c r="B123" s="45" t="s">
        <v>1</v>
      </c>
      <c r="C123" s="45" t="s">
        <v>2</v>
      </c>
      <c r="D123" s="45" t="s">
        <v>3</v>
      </c>
      <c r="E123" s="45" t="s">
        <v>4</v>
      </c>
      <c r="F123" s="45" t="s">
        <v>5</v>
      </c>
      <c r="G123" s="45" t="s">
        <v>6</v>
      </c>
      <c r="H123" s="45" t="s">
        <v>126</v>
      </c>
      <c r="I123" s="45" t="s">
        <v>7</v>
      </c>
      <c r="J123" s="45" t="s">
        <v>8</v>
      </c>
      <c r="K123" s="5" t="s">
        <v>76</v>
      </c>
      <c r="L123" s="5" t="s">
        <v>127</v>
      </c>
    </row>
    <row r="124" spans="1:12" x14ac:dyDescent="0.25">
      <c r="A124" s="7" t="str" cm="1">
        <f t="array" aca="1" ref="A124:L125" ca="1">_xlfn.TAKE(_xlfn._xlws.SORT(_xlfn._xlws.FILTER($A$6:$L$35,$C$6:$C$35=$A$120),MATCH($B$120,$A$5:$L$5,0),-1),2)</f>
        <v>CUST009</v>
      </c>
      <c r="B124" s="7" t="str">
        <f ca="1"/>
        <v>Linda Jackson</v>
      </c>
      <c r="C124" s="7" t="str">
        <f ca="1"/>
        <v>Central</v>
      </c>
      <c r="D124" s="7" t="str">
        <f ca="1"/>
        <v>Books</v>
      </c>
      <c r="E124" s="16">
        <f ca="1"/>
        <v>501.54</v>
      </c>
      <c r="F124" s="7">
        <f ca="1"/>
        <v>11</v>
      </c>
      <c r="G124" s="14">
        <f ca="1"/>
        <v>0.05</v>
      </c>
      <c r="H124" s="7" t="str">
        <f ca="1"/>
        <v>Apr</v>
      </c>
      <c r="I124" s="7">
        <f ca="1"/>
        <v>45401</v>
      </c>
      <c r="J124" s="16">
        <f ca="1"/>
        <v>190.59</v>
      </c>
      <c r="K124" s="16">
        <f ca="1"/>
        <v>5241.0929999999998</v>
      </c>
      <c r="L124" s="47">
        <f ca="1"/>
        <v>46302.330231597225</v>
      </c>
    </row>
    <row r="125" spans="1:12" x14ac:dyDescent="0.25">
      <c r="A125" s="7" t="str">
        <f ca="1"/>
        <v>CUST010</v>
      </c>
      <c r="B125" s="7" t="str">
        <f ca="1"/>
        <v>David Thomas</v>
      </c>
      <c r="C125" s="7" t="str">
        <f ca="1"/>
        <v>Central</v>
      </c>
      <c r="D125" s="7" t="str">
        <f ca="1"/>
        <v>Clothing</v>
      </c>
      <c r="E125" s="16">
        <f ca="1"/>
        <v>737.31</v>
      </c>
      <c r="F125" s="7">
        <f ca="1"/>
        <v>2</v>
      </c>
      <c r="G125" s="14">
        <f ca="1"/>
        <v>0.05</v>
      </c>
      <c r="H125" s="7" t="str">
        <f ca="1"/>
        <v>Apr</v>
      </c>
      <c r="I125" s="7">
        <f ca="1"/>
        <v>45401</v>
      </c>
      <c r="J125" s="16">
        <f ca="1"/>
        <v>350.22</v>
      </c>
      <c r="K125" s="16">
        <f ca="1"/>
        <v>1400.8889999999999</v>
      </c>
      <c r="L125" s="47">
        <f ca="1"/>
        <v>46302.330231597225</v>
      </c>
    </row>
    <row r="126" spans="1:12" x14ac:dyDescent="0.25">
      <c r="E126" s="30"/>
      <c r="G126" s="13"/>
      <c r="J126" s="30"/>
      <c r="K126" s="30"/>
      <c r="L126" s="32"/>
    </row>
    <row r="127" spans="1:12" x14ac:dyDescent="0.25">
      <c r="E127" s="30"/>
      <c r="G127" s="13"/>
      <c r="J127" s="30"/>
      <c r="K127" s="30"/>
      <c r="L127" s="32"/>
    </row>
    <row r="128" spans="1:12" x14ac:dyDescent="0.25">
      <c r="E128" s="30"/>
      <c r="G128" s="13"/>
      <c r="J128" s="30"/>
      <c r="K128" s="30"/>
      <c r="L128" s="32"/>
    </row>
    <row r="129" spans="1:11" x14ac:dyDescent="0.25">
      <c r="A129" s="17">
        <v>8</v>
      </c>
      <c r="B129" s="55" t="s">
        <v>134</v>
      </c>
      <c r="C129" s="56"/>
      <c r="D129" s="56"/>
      <c r="E129" s="57"/>
      <c r="H129" s="30"/>
    </row>
    <row r="130" spans="1:11" x14ac:dyDescent="0.25">
      <c r="K130" s="30"/>
    </row>
    <row r="131" spans="1:11" x14ac:dyDescent="0.25">
      <c r="K131" s="30"/>
    </row>
    <row r="132" spans="1:11" x14ac:dyDescent="0.25">
      <c r="A132" s="38" t="s">
        <v>137</v>
      </c>
      <c r="B132" s="39" t="s">
        <v>136</v>
      </c>
      <c r="C132" s="40"/>
      <c r="D132" s="40"/>
      <c r="E132" s="40"/>
      <c r="F132" s="41"/>
    </row>
    <row r="133" spans="1:11" x14ac:dyDescent="0.25">
      <c r="A133" s="42" t="s">
        <v>2</v>
      </c>
      <c r="B133" s="43" t="s">
        <v>12</v>
      </c>
      <c r="C133" s="43" t="s">
        <v>15</v>
      </c>
      <c r="D133" s="43" t="s">
        <v>21</v>
      </c>
      <c r="E133" s="43" t="s">
        <v>27</v>
      </c>
      <c r="F133" s="44" t="s">
        <v>39</v>
      </c>
    </row>
    <row r="134" spans="1:11" x14ac:dyDescent="0.25">
      <c r="A134" s="36" t="s">
        <v>34</v>
      </c>
      <c r="B134" s="37">
        <v>5241.0929999999998</v>
      </c>
      <c r="C134" s="37">
        <v>1400.8889999999999</v>
      </c>
      <c r="D134" s="37"/>
      <c r="E134" s="37"/>
      <c r="F134" s="37"/>
    </row>
    <row r="135" spans="1:11" x14ac:dyDescent="0.25">
      <c r="A135" s="12" t="s">
        <v>18</v>
      </c>
      <c r="B135" s="11">
        <v>21500.724499999997</v>
      </c>
      <c r="C135" s="11"/>
      <c r="D135" s="11">
        <v>4588.0450000000001</v>
      </c>
      <c r="E135" s="11">
        <v>5157.4560000000001</v>
      </c>
      <c r="F135" s="11">
        <v>26488.394500000002</v>
      </c>
    </row>
    <row r="136" spans="1:11" x14ac:dyDescent="0.25">
      <c r="A136" s="12" t="s">
        <v>24</v>
      </c>
      <c r="B136" s="11">
        <v>10379.076000000001</v>
      </c>
      <c r="C136" s="11"/>
      <c r="D136" s="11">
        <v>11152.059000000001</v>
      </c>
      <c r="E136" s="11">
        <v>17049.065999999999</v>
      </c>
      <c r="F136" s="11">
        <v>27990.81</v>
      </c>
    </row>
    <row r="137" spans="1:11" x14ac:dyDescent="0.25">
      <c r="A137" s="12" t="s">
        <v>20</v>
      </c>
      <c r="B137" s="11">
        <v>9102.14</v>
      </c>
      <c r="C137" s="11"/>
      <c r="D137" s="11">
        <v>11298.172</v>
      </c>
      <c r="E137" s="11">
        <v>654.95699999999999</v>
      </c>
      <c r="F137" s="11"/>
    </row>
    <row r="138" spans="1:11" x14ac:dyDescent="0.25">
      <c r="A138" s="12" t="s">
        <v>11</v>
      </c>
      <c r="B138" s="11">
        <v>34254.324000000001</v>
      </c>
      <c r="C138" s="11">
        <v>2643.0720000000001</v>
      </c>
      <c r="D138" s="11">
        <v>15019.842000000001</v>
      </c>
      <c r="E138" s="11">
        <v>11982.026999999998</v>
      </c>
      <c r="F138" s="11">
        <v>8965.0740000000005</v>
      </c>
    </row>
  </sheetData>
  <mergeCells count="16">
    <mergeCell ref="A50:A51"/>
    <mergeCell ref="B50:B51"/>
    <mergeCell ref="C50:C51"/>
    <mergeCell ref="E90:F90"/>
    <mergeCell ref="G90:H90"/>
    <mergeCell ref="A90:B90"/>
    <mergeCell ref="C90:D90"/>
    <mergeCell ref="B129:E129"/>
    <mergeCell ref="B1:E1"/>
    <mergeCell ref="B2:E2"/>
    <mergeCell ref="B88:E88"/>
    <mergeCell ref="B106:E106"/>
    <mergeCell ref="D122:F122"/>
    <mergeCell ref="B117:E117"/>
    <mergeCell ref="B37:E37"/>
    <mergeCell ref="B47:E47"/>
  </mergeCells>
  <conditionalFormatting sqref="K6:K35">
    <cfRule type="top10" dxfId="0" priority="2" rank="10"/>
  </conditionalFormatting>
  <dataValidations count="3">
    <dataValidation type="list" allowBlank="1" showInputMessage="1" showErrorMessage="1" sqref="E40" xr:uid="{EFD551AD-7924-4E00-827A-FD59E3F02513}">
      <formula1>$A$40:$A$44</formula1>
    </dataValidation>
    <dataValidation type="list" allowBlank="1" showInputMessage="1" showErrorMessage="1" sqref="A120:A121" xr:uid="{296B36C1-C845-4B79-A098-CEA669643AE1}">
      <formula1>$C$6:$C$35</formula1>
    </dataValidation>
    <dataValidation type="list" allowBlank="1" showInputMessage="1" showErrorMessage="1" sqref="B120:B121" xr:uid="{42545C02-AEFD-44FB-BBFF-B69A89466820}">
      <formula1>$A$5:$L$5</formula1>
    </dataValidation>
  </dataValidation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A944-64A4-42C3-A3CB-781C3AE462C8}">
  <dimension ref="A1:L23"/>
  <sheetViews>
    <sheetView workbookViewId="0">
      <selection activeCell="J17" sqref="J17"/>
    </sheetView>
  </sheetViews>
  <sheetFormatPr defaultRowHeight="15" x14ac:dyDescent="0.25"/>
  <cols>
    <col min="1" max="1" width="13.42578125" bestFit="1" customWidth="1"/>
    <col min="2" max="2" width="10" bestFit="1" customWidth="1"/>
    <col min="3" max="3" width="10.140625" bestFit="1" customWidth="1"/>
    <col min="4" max="4" width="13.85546875" bestFit="1" customWidth="1"/>
    <col min="5" max="5" width="8" bestFit="1" customWidth="1"/>
    <col min="6" max="6" width="10.5703125" bestFit="1" customWidth="1"/>
    <col min="7" max="7" width="12.7109375" customWidth="1"/>
    <col min="8" max="8" width="9" bestFit="1" customWidth="1"/>
    <col min="10" max="10" width="14.28515625" bestFit="1" customWidth="1"/>
    <col min="11" max="11" width="21.140625" bestFit="1" customWidth="1"/>
    <col min="12" max="12" width="12.7109375" bestFit="1" customWidth="1"/>
    <col min="13" max="15" width="8" bestFit="1" customWidth="1"/>
  </cols>
  <sheetData>
    <row r="1" spans="1:12" x14ac:dyDescent="0.25">
      <c r="A1" s="17">
        <v>9</v>
      </c>
      <c r="B1" s="55" t="s">
        <v>138</v>
      </c>
      <c r="C1" s="56"/>
      <c r="D1" s="56"/>
      <c r="E1" s="57"/>
    </row>
    <row r="2" spans="1:12" x14ac:dyDescent="0.25">
      <c r="A2" s="17">
        <v>10</v>
      </c>
      <c r="B2" s="55" t="s">
        <v>154</v>
      </c>
      <c r="C2" s="56"/>
      <c r="D2" s="56"/>
      <c r="E2" s="57"/>
    </row>
    <row r="4" spans="1:12" x14ac:dyDescent="0.25">
      <c r="J4" s="67" t="s">
        <v>165</v>
      </c>
      <c r="K4" s="68"/>
    </row>
    <row r="5" spans="1:12" x14ac:dyDescent="0.25">
      <c r="A5" s="67" t="s">
        <v>139</v>
      </c>
      <c r="B5" s="68"/>
      <c r="D5" s="49" t="s">
        <v>76</v>
      </c>
      <c r="F5" s="67" t="s">
        <v>78</v>
      </c>
      <c r="G5" s="68"/>
      <c r="J5" s="33" t="s">
        <v>135</v>
      </c>
      <c r="K5" t="s">
        <v>153</v>
      </c>
    </row>
    <row r="6" spans="1:12" x14ac:dyDescent="0.25">
      <c r="A6" s="48" t="s">
        <v>140</v>
      </c>
      <c r="D6" s="48" t="s">
        <v>161</v>
      </c>
      <c r="G6" s="48" t="s">
        <v>147</v>
      </c>
      <c r="J6" s="50" t="s">
        <v>12</v>
      </c>
      <c r="K6" s="51">
        <v>0.39393939393939392</v>
      </c>
    </row>
    <row r="7" spans="1:12" x14ac:dyDescent="0.25">
      <c r="A7" s="34">
        <v>30</v>
      </c>
      <c r="D7" s="46">
        <v>224867.22100000005</v>
      </c>
      <c r="G7" s="34">
        <v>9441.2300000000014</v>
      </c>
      <c r="J7" s="50" t="s">
        <v>15</v>
      </c>
      <c r="K7" s="51">
        <v>7.5757575757575746E-2</v>
      </c>
    </row>
    <row r="8" spans="1:12" x14ac:dyDescent="0.25">
      <c r="J8" s="50" t="s">
        <v>21</v>
      </c>
      <c r="K8" s="51">
        <v>0.21212121212121213</v>
      </c>
    </row>
    <row r="9" spans="1:12" x14ac:dyDescent="0.25">
      <c r="J9" s="50" t="s">
        <v>27</v>
      </c>
      <c r="K9" s="51">
        <v>0.21212121212121213</v>
      </c>
    </row>
    <row r="10" spans="1:12" x14ac:dyDescent="0.25">
      <c r="A10" s="67" t="s">
        <v>148</v>
      </c>
      <c r="B10" s="68"/>
      <c r="D10" s="49" t="s">
        <v>149</v>
      </c>
      <c r="F10" s="67" t="s">
        <v>160</v>
      </c>
      <c r="G10" s="68"/>
      <c r="J10" s="50" t="s">
        <v>39</v>
      </c>
      <c r="K10" s="51">
        <v>0.10606060606060605</v>
      </c>
    </row>
    <row r="11" spans="1:12" x14ac:dyDescent="0.25">
      <c r="A11" s="48" t="s">
        <v>148</v>
      </c>
      <c r="D11" s="48" t="s">
        <v>150</v>
      </c>
      <c r="F11" s="48" t="s">
        <v>159</v>
      </c>
    </row>
    <row r="12" spans="1:12" x14ac:dyDescent="0.25">
      <c r="A12" s="46">
        <v>314.70766666666674</v>
      </c>
      <c r="D12" s="46">
        <v>7495.5740333333351</v>
      </c>
      <c r="F12" s="34">
        <v>28119.360000000001</v>
      </c>
    </row>
    <row r="16" spans="1:12" x14ac:dyDescent="0.25">
      <c r="A16" s="66" t="s">
        <v>151</v>
      </c>
      <c r="B16" s="66"/>
      <c r="C16" s="66"/>
      <c r="F16" s="66" t="s">
        <v>152</v>
      </c>
      <c r="G16" s="66"/>
      <c r="H16" s="66"/>
      <c r="J16" s="69"/>
      <c r="K16" s="69"/>
      <c r="L16" s="69"/>
    </row>
    <row r="17" spans="1:8" x14ac:dyDescent="0.25">
      <c r="A17" s="33" t="s">
        <v>135</v>
      </c>
      <c r="B17" t="s">
        <v>155</v>
      </c>
      <c r="C17" t="s">
        <v>156</v>
      </c>
      <c r="F17" s="33" t="s">
        <v>135</v>
      </c>
      <c r="G17" t="s">
        <v>157</v>
      </c>
      <c r="H17" t="s">
        <v>158</v>
      </c>
    </row>
    <row r="18" spans="1:8" x14ac:dyDescent="0.25">
      <c r="A18" s="50" t="s">
        <v>34</v>
      </c>
      <c r="B18" s="34">
        <v>1238.8499999999999</v>
      </c>
      <c r="C18" s="34">
        <v>540.81000000000006</v>
      </c>
      <c r="F18" s="50" t="s">
        <v>141</v>
      </c>
      <c r="G18" s="34">
        <v>4830.22</v>
      </c>
      <c r="H18" s="34">
        <v>14355.62</v>
      </c>
    </row>
    <row r="19" spans="1:8" x14ac:dyDescent="0.25">
      <c r="A19" s="50" t="s">
        <v>18</v>
      </c>
      <c r="B19" s="34">
        <v>4766.76</v>
      </c>
      <c r="C19" s="34">
        <v>1631.33</v>
      </c>
      <c r="F19" s="50" t="s">
        <v>145</v>
      </c>
      <c r="G19" s="34">
        <v>1735.74</v>
      </c>
      <c r="H19" s="34">
        <v>5571.83</v>
      </c>
    </row>
    <row r="20" spans="1:8" x14ac:dyDescent="0.25">
      <c r="A20" s="50" t="s">
        <v>24</v>
      </c>
      <c r="B20" s="34">
        <v>8142.9400000000005</v>
      </c>
      <c r="C20" s="34">
        <v>2725.33</v>
      </c>
      <c r="F20" s="50" t="s">
        <v>142</v>
      </c>
      <c r="G20" s="34">
        <v>1239.73</v>
      </c>
      <c r="H20" s="34">
        <v>3193.29</v>
      </c>
    </row>
    <row r="21" spans="1:8" x14ac:dyDescent="0.25">
      <c r="A21" s="50" t="s">
        <v>20</v>
      </c>
      <c r="B21" s="34">
        <v>4300.43</v>
      </c>
      <c r="C21" s="34">
        <v>1235.6299999999999</v>
      </c>
      <c r="F21" s="50" t="s">
        <v>146</v>
      </c>
      <c r="G21" s="34">
        <v>455.97</v>
      </c>
      <c r="H21" s="34">
        <v>1371.34</v>
      </c>
    </row>
    <row r="22" spans="1:8" x14ac:dyDescent="0.25">
      <c r="A22" s="50" t="s">
        <v>11</v>
      </c>
      <c r="B22" s="34">
        <v>9670.3799999999992</v>
      </c>
      <c r="C22" s="34">
        <v>3308.13</v>
      </c>
      <c r="F22" s="50" t="s">
        <v>143</v>
      </c>
      <c r="G22" s="34">
        <v>286.95999999999998</v>
      </c>
      <c r="H22" s="34">
        <v>1057.8400000000001</v>
      </c>
    </row>
    <row r="23" spans="1:8" x14ac:dyDescent="0.25">
      <c r="F23" s="50" t="s">
        <v>144</v>
      </c>
      <c r="G23" s="34">
        <v>892.6099999999999</v>
      </c>
      <c r="H23" s="34">
        <v>2569.44</v>
      </c>
    </row>
  </sheetData>
  <mergeCells count="9">
    <mergeCell ref="A16:C16"/>
    <mergeCell ref="F16:H16"/>
    <mergeCell ref="J4:K4"/>
    <mergeCell ref="B1:E1"/>
    <mergeCell ref="B2:E2"/>
    <mergeCell ref="A5:B5"/>
    <mergeCell ref="F5:G5"/>
    <mergeCell ref="A10:B10"/>
    <mergeCell ref="F10:G10"/>
  </mergeCell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D803-1612-4849-A6FB-F1A8FDDFA4D4}">
  <dimension ref="A1"/>
  <sheetViews>
    <sheetView showGridLines="0" zoomScaleNormal="100" workbookViewId="0">
      <selection activeCell="W13" sqref="W13"/>
    </sheetView>
  </sheetViews>
  <sheetFormatPr defaultRowHeight="15" x14ac:dyDescent="0.25"/>
  <cols>
    <col min="1" max="1" width="9.140625" style="52"/>
    <col min="2" max="2" width="9.140625" style="52" customWidth="1"/>
    <col min="3" max="5" width="9.140625" style="52"/>
    <col min="6" max="11" width="9.140625" style="52" customWidth="1"/>
    <col min="12" max="16384" width="9.140625" style="5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Row_DataSet</vt:lpstr>
      <vt:lpstr>Data_Cleaning&amp;Analysis</vt:lpstr>
      <vt:lpstr>Chart&amp;KIP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himanshi_sangani@outlook.com</dc:creator>
  <cp:lastModifiedBy>himanshi_sangani@outlook.com</cp:lastModifiedBy>
  <dcterms:created xsi:type="dcterms:W3CDTF">2026-10-06T02:52:01Z</dcterms:created>
  <dcterms:modified xsi:type="dcterms:W3CDTF">2026-10-07T02:28:45Z</dcterms:modified>
</cp:coreProperties>
</file>